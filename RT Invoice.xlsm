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OSARI\Documents\RT\"/>
    </mc:Choice>
  </mc:AlternateContent>
  <xr:revisionPtr revIDLastSave="0" documentId="13_ncr:1_{E7DD06CE-EF26-4869-98E7-9183D40F506B}" xr6:coauthVersionLast="47" xr6:coauthVersionMax="47" xr10:uidLastSave="{00000000-0000-0000-0000-000000000000}"/>
  <bookViews>
    <workbookView xWindow="-120" yWindow="-120" windowWidth="29040" windowHeight="15840" tabRatio="704" activeTab="1" xr2:uid="{07A8F14A-49FC-4AB0-8521-297631614344}"/>
  </bookViews>
  <sheets>
    <sheet name="Pipe Size" sheetId="2" r:id="rId1"/>
    <sheet name="930-4" sheetId="8" r:id="rId2"/>
  </sheets>
  <definedNames>
    <definedName name="Nominal">'Pipe Size'!$A$2:$A$49</definedName>
    <definedName name="O.D_Inches">'Pipe Size'!$B$2:$B$49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8" l="1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286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11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36" i="8"/>
  <c r="N361" i="8"/>
  <c r="N362" i="8"/>
  <c r="N363" i="8"/>
  <c r="N364" i="8"/>
  <c r="N365" i="8"/>
  <c r="N366" i="8"/>
  <c r="N372" i="8"/>
  <c r="N369" i="8"/>
  <c r="M369" i="8"/>
  <c r="M368" i="8"/>
  <c r="N368" i="8" s="1"/>
  <c r="Y8" i="8"/>
  <c r="Y9" i="8"/>
  <c r="Y10" i="8"/>
  <c r="Y11" i="8"/>
  <c r="Y12" i="8"/>
  <c r="Y13" i="8"/>
  <c r="Y14" i="8"/>
  <c r="Y15" i="8"/>
  <c r="Y16" i="8" s="1"/>
  <c r="Y17" i="8"/>
  <c r="Y18" i="8"/>
  <c r="Y19" i="8"/>
  <c r="Y20" i="8"/>
  <c r="Y21" i="8"/>
  <c r="Y22" i="8"/>
  <c r="Y23" i="8"/>
  <c r="Y24" i="8"/>
  <c r="Y25" i="8"/>
  <c r="Y33" i="8"/>
  <c r="Y34" i="8"/>
  <c r="Y35" i="8"/>
  <c r="Y36" i="8"/>
  <c r="Y37" i="8"/>
  <c r="Y38" i="8"/>
  <c r="Y39" i="8"/>
  <c r="Y40" i="8"/>
  <c r="Y41" i="8" s="1"/>
  <c r="Y42" i="8"/>
  <c r="Y43" i="8"/>
  <c r="Y44" i="8"/>
  <c r="Y45" i="8"/>
  <c r="Y46" i="8"/>
  <c r="Y47" i="8"/>
  <c r="Y48" i="8"/>
  <c r="Y49" i="8"/>
  <c r="Y50" i="8"/>
  <c r="Y58" i="8"/>
  <c r="Y59" i="8"/>
  <c r="Y60" i="8"/>
  <c r="Y61" i="8"/>
  <c r="Y62" i="8"/>
  <c r="Y63" i="8"/>
  <c r="Y64" i="8"/>
  <c r="Y65" i="8"/>
  <c r="Y66" i="8" s="1"/>
  <c r="Y67" i="8"/>
  <c r="Y68" i="8"/>
  <c r="Y69" i="8"/>
  <c r="Y70" i="8"/>
  <c r="Y71" i="8"/>
  <c r="Y72" i="8"/>
  <c r="Y73" i="8"/>
  <c r="Y74" i="8"/>
  <c r="Y75" i="8"/>
  <c r="Y83" i="8"/>
  <c r="Y84" i="8"/>
  <c r="Y85" i="8"/>
  <c r="Y86" i="8"/>
  <c r="Y87" i="8"/>
  <c r="Y88" i="8"/>
  <c r="Y89" i="8"/>
  <c r="Y90" i="8"/>
  <c r="Y91" i="8" s="1"/>
  <c r="Y92" i="8"/>
  <c r="Y93" i="8"/>
  <c r="Y94" i="8"/>
  <c r="Y95" i="8"/>
  <c r="Y96" i="8"/>
  <c r="Y97" i="8"/>
  <c r="Y98" i="8"/>
  <c r="Y99" i="8"/>
  <c r="Y100" i="8"/>
  <c r="Y108" i="8"/>
  <c r="Y109" i="8"/>
  <c r="Y110" i="8"/>
  <c r="Y111" i="8"/>
  <c r="Y112" i="8"/>
  <c r="Y113" i="8"/>
  <c r="Y114" i="8"/>
  <c r="Y115" i="8"/>
  <c r="Y116" i="8" s="1"/>
  <c r="Y117" i="8"/>
  <c r="Y118" i="8"/>
  <c r="Y119" i="8"/>
  <c r="Y120" i="8"/>
  <c r="Y121" i="8"/>
  <c r="Y122" i="8"/>
  <c r="Y123" i="8"/>
  <c r="Y124" i="8"/>
  <c r="Y125" i="8"/>
  <c r="Y133" i="8"/>
  <c r="Y134" i="8"/>
  <c r="Y135" i="8"/>
  <c r="Y136" i="8"/>
  <c r="Y137" i="8"/>
  <c r="Y138" i="8"/>
  <c r="Y139" i="8"/>
  <c r="Y140" i="8"/>
  <c r="Y141" i="8" s="1"/>
  <c r="Y142" i="8"/>
  <c r="Y143" i="8"/>
  <c r="Y144" i="8"/>
  <c r="Y145" i="8"/>
  <c r="Y146" i="8"/>
  <c r="Y147" i="8"/>
  <c r="Y148" i="8"/>
  <c r="Y149" i="8"/>
  <c r="Y150" i="8"/>
  <c r="Y158" i="8"/>
  <c r="Y159" i="8"/>
  <c r="Y160" i="8"/>
  <c r="Y161" i="8"/>
  <c r="Y162" i="8"/>
  <c r="Y163" i="8"/>
  <c r="Y164" i="8"/>
  <c r="Y165" i="8"/>
  <c r="Y166" i="8" s="1"/>
  <c r="Y167" i="8"/>
  <c r="Y168" i="8"/>
  <c r="Y169" i="8"/>
  <c r="Y170" i="8"/>
  <c r="Y171" i="8"/>
  <c r="Y172" i="8"/>
  <c r="Y173" i="8"/>
  <c r="Y174" i="8"/>
  <c r="Y175" i="8"/>
  <c r="Y183" i="8"/>
  <c r="Y184" i="8"/>
  <c r="Y185" i="8"/>
  <c r="Y186" i="8"/>
  <c r="Y187" i="8"/>
  <c r="Y188" i="8"/>
  <c r="Y189" i="8"/>
  <c r="Y190" i="8"/>
  <c r="Y191" i="8" s="1"/>
  <c r="Y192" i="8"/>
  <c r="Y193" i="8"/>
  <c r="Y194" i="8"/>
  <c r="Y195" i="8"/>
  <c r="Y196" i="8"/>
  <c r="Y197" i="8"/>
  <c r="Y198" i="8"/>
  <c r="Y199" i="8"/>
  <c r="Y200" i="8"/>
  <c r="Y208" i="8"/>
  <c r="Y209" i="8"/>
  <c r="Y210" i="8"/>
  <c r="Y211" i="8"/>
  <c r="Y212" i="8"/>
  <c r="Y213" i="8"/>
  <c r="Y214" i="8"/>
  <c r="Y215" i="8"/>
  <c r="Y216" i="8" s="1"/>
  <c r="Y217" i="8"/>
  <c r="Y218" i="8"/>
  <c r="Y219" i="8"/>
  <c r="Y220" i="8"/>
  <c r="Y221" i="8"/>
  <c r="Y222" i="8"/>
  <c r="Y223" i="8"/>
  <c r="Y224" i="8"/>
  <c r="Y225" i="8"/>
  <c r="Y233" i="8"/>
  <c r="Y234" i="8"/>
  <c r="Y235" i="8"/>
  <c r="Y236" i="8"/>
  <c r="Y237" i="8"/>
  <c r="Y238" i="8"/>
  <c r="Y239" i="8"/>
  <c r="Y240" i="8"/>
  <c r="Y241" i="8" s="1"/>
  <c r="Y242" i="8"/>
  <c r="Y243" i="8"/>
  <c r="Y244" i="8"/>
  <c r="Y245" i="8"/>
  <c r="Y246" i="8"/>
  <c r="Y247" i="8"/>
  <c r="Y248" i="8"/>
  <c r="Y249" i="8"/>
  <c r="Y250" i="8"/>
  <c r="Y261" i="8"/>
  <c r="Y262" i="8"/>
  <c r="Y263" i="8"/>
  <c r="Y264" i="8"/>
  <c r="Y265" i="8"/>
  <c r="Y266" i="8"/>
  <c r="Y267" i="8"/>
  <c r="Y268" i="8"/>
  <c r="Y269" i="8" s="1"/>
  <c r="Y270" i="8"/>
  <c r="Y271" i="8"/>
  <c r="Y272" i="8"/>
  <c r="Y273" i="8"/>
  <c r="Y274" i="8"/>
  <c r="Y275" i="8"/>
  <c r="Y276" i="8"/>
  <c r="Y277" i="8"/>
  <c r="Y278" i="8"/>
  <c r="Y286" i="8"/>
  <c r="Y287" i="8"/>
  <c r="Y288" i="8"/>
  <c r="Y289" i="8"/>
  <c r="Y290" i="8"/>
  <c r="Y291" i="8"/>
  <c r="Y292" i="8"/>
  <c r="Y293" i="8"/>
  <c r="Y294" i="8" s="1"/>
  <c r="Y295" i="8"/>
  <c r="Y296" i="8"/>
  <c r="Y297" i="8"/>
  <c r="Y298" i="8"/>
  <c r="Y299" i="8"/>
  <c r="Y300" i="8"/>
  <c r="Y301" i="8"/>
  <c r="Y302" i="8"/>
  <c r="Y303" i="8"/>
  <c r="Y311" i="8"/>
  <c r="Y312" i="8"/>
  <c r="Y313" i="8"/>
  <c r="Y314" i="8"/>
  <c r="Y315" i="8"/>
  <c r="Y316" i="8"/>
  <c r="Y317" i="8"/>
  <c r="Y318" i="8"/>
  <c r="Y319" i="8" s="1"/>
  <c r="Y320" i="8"/>
  <c r="Y321" i="8"/>
  <c r="Y322" i="8"/>
  <c r="Y323" i="8"/>
  <c r="Y324" i="8"/>
  <c r="Y325" i="8"/>
  <c r="Y326" i="8"/>
  <c r="Y327" i="8"/>
  <c r="Y328" i="8"/>
  <c r="Y336" i="8"/>
  <c r="Y337" i="8"/>
  <c r="Y338" i="8"/>
  <c r="Y339" i="8"/>
  <c r="Y340" i="8"/>
  <c r="Y341" i="8"/>
  <c r="Y342" i="8"/>
  <c r="Y343" i="8"/>
  <c r="Y344" i="8" s="1"/>
  <c r="Y345" i="8"/>
  <c r="Y346" i="8"/>
  <c r="Y347" i="8"/>
  <c r="Y348" i="8"/>
  <c r="Y349" i="8"/>
  <c r="Y350" i="8"/>
  <c r="Y351" i="8"/>
  <c r="Y352" i="8"/>
  <c r="Y353" i="8"/>
  <c r="Y361" i="8"/>
  <c r="Y362" i="8"/>
  <c r="F362" i="8" s="1"/>
  <c r="Y363" i="8"/>
  <c r="Y364" i="8"/>
  <c r="F364" i="8" s="1"/>
  <c r="Y365" i="8"/>
  <c r="F365" i="8" s="1"/>
  <c r="Y366" i="8"/>
  <c r="F366" i="8" s="1"/>
  <c r="Y367" i="8"/>
  <c r="Y368" i="8"/>
  <c r="Y369" i="8" s="1"/>
  <c r="Y370" i="8" s="1"/>
  <c r="F370" i="8" s="1"/>
  <c r="Y371" i="8"/>
  <c r="Y372" i="8" s="1"/>
  <c r="Y373" i="8"/>
  <c r="Y374" i="8" s="1"/>
  <c r="Y375" i="8"/>
  <c r="F375" i="8" s="1"/>
  <c r="Y376" i="8"/>
  <c r="F376" i="8" s="1"/>
  <c r="Y377" i="8"/>
  <c r="Y378" i="8" s="1"/>
  <c r="O376" i="8"/>
  <c r="P376" i="8" s="1"/>
  <c r="M376" i="8"/>
  <c r="N376" i="8" s="1"/>
  <c r="H376" i="8"/>
  <c r="I376" i="8" s="1"/>
  <c r="G376" i="8"/>
  <c r="E376" i="8"/>
  <c r="P375" i="8"/>
  <c r="O375" i="8"/>
  <c r="G375" i="8"/>
  <c r="H375" i="8" s="1"/>
  <c r="I375" i="8" s="1"/>
  <c r="E375" i="8"/>
  <c r="S374" i="8"/>
  <c r="V374" i="8" s="1"/>
  <c r="W374" i="8" s="1"/>
  <c r="Q374" i="8"/>
  <c r="P374" i="8"/>
  <c r="O374" i="8"/>
  <c r="H374" i="8"/>
  <c r="I374" i="8" s="1"/>
  <c r="G374" i="8"/>
  <c r="F374" i="8"/>
  <c r="E374" i="8"/>
  <c r="P373" i="8"/>
  <c r="O373" i="8"/>
  <c r="G373" i="8"/>
  <c r="H373" i="8" s="1"/>
  <c r="I373" i="8" s="1"/>
  <c r="E373" i="8"/>
  <c r="M373" i="8" s="1"/>
  <c r="N373" i="8" s="1"/>
  <c r="S372" i="8"/>
  <c r="V372" i="8" s="1"/>
  <c r="W372" i="8" s="1"/>
  <c r="Q372" i="8"/>
  <c r="P372" i="8"/>
  <c r="O372" i="8"/>
  <c r="H372" i="8"/>
  <c r="I372" i="8" s="1"/>
  <c r="G372" i="8"/>
  <c r="F372" i="8"/>
  <c r="E372" i="8"/>
  <c r="P371" i="8"/>
  <c r="O371" i="8"/>
  <c r="G371" i="8"/>
  <c r="H371" i="8" s="1"/>
  <c r="I371" i="8" s="1"/>
  <c r="E371" i="8"/>
  <c r="M371" i="8" s="1"/>
  <c r="N371" i="8" s="1"/>
  <c r="O370" i="8"/>
  <c r="P370" i="8" s="1"/>
  <c r="H370" i="8"/>
  <c r="I370" i="8" s="1"/>
  <c r="G370" i="8"/>
  <c r="E370" i="8"/>
  <c r="S369" i="8"/>
  <c r="Q369" i="8"/>
  <c r="P369" i="8"/>
  <c r="V369" i="8" s="1"/>
  <c r="W369" i="8" s="1"/>
  <c r="O369" i="8"/>
  <c r="G369" i="8"/>
  <c r="H369" i="8" s="1"/>
  <c r="I369" i="8" s="1"/>
  <c r="E369" i="8"/>
  <c r="O368" i="8"/>
  <c r="P368" i="8" s="1"/>
  <c r="H368" i="8"/>
  <c r="I368" i="8" s="1"/>
  <c r="G368" i="8"/>
  <c r="E368" i="8"/>
  <c r="P367" i="8"/>
  <c r="O367" i="8"/>
  <c r="G367" i="8"/>
  <c r="H367" i="8" s="1"/>
  <c r="I367" i="8" s="1"/>
  <c r="E367" i="8"/>
  <c r="O366" i="8"/>
  <c r="P366" i="8" s="1"/>
  <c r="H366" i="8"/>
  <c r="I366" i="8" s="1"/>
  <c r="G366" i="8"/>
  <c r="E366" i="8"/>
  <c r="P365" i="8"/>
  <c r="O365" i="8"/>
  <c r="G365" i="8"/>
  <c r="H365" i="8" s="1"/>
  <c r="I365" i="8" s="1"/>
  <c r="E365" i="8"/>
  <c r="O364" i="8"/>
  <c r="P364" i="8" s="1"/>
  <c r="M364" i="8"/>
  <c r="H364" i="8"/>
  <c r="I364" i="8" s="1"/>
  <c r="G364" i="8"/>
  <c r="E364" i="8"/>
  <c r="F363" i="8"/>
  <c r="P363" i="8"/>
  <c r="O363" i="8"/>
  <c r="G363" i="8"/>
  <c r="H363" i="8" s="1"/>
  <c r="I363" i="8" s="1"/>
  <c r="E363" i="8"/>
  <c r="M363" i="8" s="1"/>
  <c r="O362" i="8"/>
  <c r="P362" i="8" s="1"/>
  <c r="M362" i="8"/>
  <c r="H362" i="8"/>
  <c r="I362" i="8" s="1"/>
  <c r="G362" i="8"/>
  <c r="E362" i="8"/>
  <c r="F361" i="8"/>
  <c r="P361" i="8"/>
  <c r="O361" i="8"/>
  <c r="G361" i="8"/>
  <c r="H361" i="8" s="1"/>
  <c r="I361" i="8" s="1"/>
  <c r="E361" i="8"/>
  <c r="M361" i="8" s="1"/>
  <c r="O351" i="8"/>
  <c r="P351" i="8" s="1"/>
  <c r="G351" i="8"/>
  <c r="H351" i="8" s="1"/>
  <c r="I351" i="8" s="1"/>
  <c r="E351" i="8"/>
  <c r="M351" i="8" s="1"/>
  <c r="R351" i="8" s="1"/>
  <c r="S351" i="8" s="1"/>
  <c r="O350" i="8"/>
  <c r="P350" i="8" s="1"/>
  <c r="G350" i="8"/>
  <c r="H350" i="8" s="1"/>
  <c r="I350" i="8" s="1"/>
  <c r="E350" i="8"/>
  <c r="S349" i="8"/>
  <c r="Q349" i="8"/>
  <c r="P349" i="8"/>
  <c r="O349" i="8"/>
  <c r="G349" i="8"/>
  <c r="H349" i="8" s="1"/>
  <c r="I349" i="8" s="1"/>
  <c r="E349" i="8"/>
  <c r="F349" i="8" s="1"/>
  <c r="O348" i="8"/>
  <c r="P348" i="8" s="1"/>
  <c r="G348" i="8"/>
  <c r="H348" i="8" s="1"/>
  <c r="I348" i="8" s="1"/>
  <c r="E348" i="8"/>
  <c r="S347" i="8"/>
  <c r="Q347" i="8"/>
  <c r="P347" i="8"/>
  <c r="O347" i="8"/>
  <c r="G347" i="8"/>
  <c r="H347" i="8" s="1"/>
  <c r="I347" i="8" s="1"/>
  <c r="E347" i="8"/>
  <c r="F347" i="8" s="1"/>
  <c r="O346" i="8"/>
  <c r="G346" i="8"/>
  <c r="H346" i="8" s="1"/>
  <c r="I346" i="8" s="1"/>
  <c r="E346" i="8"/>
  <c r="O345" i="8"/>
  <c r="P345" i="8" s="1"/>
  <c r="G345" i="8"/>
  <c r="H345" i="8" s="1"/>
  <c r="I345" i="8" s="1"/>
  <c r="E345" i="8"/>
  <c r="S344" i="8"/>
  <c r="Q344" i="8"/>
  <c r="P344" i="8"/>
  <c r="V344" i="8" s="1"/>
  <c r="W344" i="8" s="1"/>
  <c r="O344" i="8"/>
  <c r="G344" i="8"/>
  <c r="H344" i="8" s="1"/>
  <c r="I344" i="8" s="1"/>
  <c r="E344" i="8"/>
  <c r="O343" i="8"/>
  <c r="P343" i="8" s="1"/>
  <c r="G343" i="8"/>
  <c r="H343" i="8" s="1"/>
  <c r="I343" i="8" s="1"/>
  <c r="E343" i="8"/>
  <c r="F343" i="8" s="1"/>
  <c r="O342" i="8"/>
  <c r="P342" i="8" s="1"/>
  <c r="G342" i="8"/>
  <c r="H342" i="8" s="1"/>
  <c r="I342" i="8" s="1"/>
  <c r="E342" i="8"/>
  <c r="O341" i="8"/>
  <c r="P341" i="8" s="1"/>
  <c r="G341" i="8"/>
  <c r="H341" i="8" s="1"/>
  <c r="I341" i="8" s="1"/>
  <c r="E341" i="8"/>
  <c r="O340" i="8"/>
  <c r="P340" i="8" s="1"/>
  <c r="G340" i="8"/>
  <c r="H340" i="8" s="1"/>
  <c r="I340" i="8" s="1"/>
  <c r="E340" i="8"/>
  <c r="O339" i="8"/>
  <c r="P339" i="8" s="1"/>
  <c r="G339" i="8"/>
  <c r="H339" i="8" s="1"/>
  <c r="I339" i="8" s="1"/>
  <c r="E339" i="8"/>
  <c r="O338" i="8"/>
  <c r="P338" i="8" s="1"/>
  <c r="G338" i="8"/>
  <c r="H338" i="8" s="1"/>
  <c r="I338" i="8" s="1"/>
  <c r="E338" i="8"/>
  <c r="M338" i="8" s="1"/>
  <c r="O337" i="8"/>
  <c r="P337" i="8" s="1"/>
  <c r="G337" i="8"/>
  <c r="H337" i="8" s="1"/>
  <c r="I337" i="8" s="1"/>
  <c r="E337" i="8"/>
  <c r="O336" i="8"/>
  <c r="P336" i="8" s="1"/>
  <c r="G336" i="8"/>
  <c r="H336" i="8" s="1"/>
  <c r="I336" i="8" s="1"/>
  <c r="E336" i="8"/>
  <c r="O326" i="8"/>
  <c r="P326" i="8" s="1"/>
  <c r="G326" i="8"/>
  <c r="H326" i="8" s="1"/>
  <c r="I326" i="8" s="1"/>
  <c r="E326" i="8"/>
  <c r="O325" i="8"/>
  <c r="P325" i="8" s="1"/>
  <c r="G325" i="8"/>
  <c r="H325" i="8" s="1"/>
  <c r="I325" i="8" s="1"/>
  <c r="E325" i="8"/>
  <c r="S324" i="8"/>
  <c r="Q324" i="8"/>
  <c r="P324" i="8"/>
  <c r="O324" i="8"/>
  <c r="G324" i="8"/>
  <c r="H324" i="8" s="1"/>
  <c r="I324" i="8" s="1"/>
  <c r="E324" i="8"/>
  <c r="F324" i="8" s="1"/>
  <c r="O323" i="8"/>
  <c r="P323" i="8" s="1"/>
  <c r="G323" i="8"/>
  <c r="H323" i="8" s="1"/>
  <c r="I323" i="8" s="1"/>
  <c r="E323" i="8"/>
  <c r="S322" i="8"/>
  <c r="Q322" i="8"/>
  <c r="P322" i="8"/>
  <c r="O322" i="8"/>
  <c r="G322" i="8"/>
  <c r="H322" i="8" s="1"/>
  <c r="I322" i="8" s="1"/>
  <c r="E322" i="8"/>
  <c r="F322" i="8" s="1"/>
  <c r="O321" i="8"/>
  <c r="G321" i="8"/>
  <c r="H321" i="8" s="1"/>
  <c r="I321" i="8" s="1"/>
  <c r="E321" i="8"/>
  <c r="O320" i="8"/>
  <c r="P320" i="8" s="1"/>
  <c r="G320" i="8"/>
  <c r="H320" i="8" s="1"/>
  <c r="I320" i="8" s="1"/>
  <c r="E320" i="8"/>
  <c r="S319" i="8"/>
  <c r="Q319" i="8"/>
  <c r="P319" i="8"/>
  <c r="V319" i="8" s="1"/>
  <c r="W319" i="8" s="1"/>
  <c r="O319" i="8"/>
  <c r="G319" i="8"/>
  <c r="H319" i="8" s="1"/>
  <c r="I319" i="8" s="1"/>
  <c r="E319" i="8"/>
  <c r="O318" i="8"/>
  <c r="P318" i="8" s="1"/>
  <c r="G318" i="8"/>
  <c r="H318" i="8" s="1"/>
  <c r="I318" i="8" s="1"/>
  <c r="E318" i="8"/>
  <c r="O317" i="8"/>
  <c r="P317" i="8" s="1"/>
  <c r="G317" i="8"/>
  <c r="H317" i="8" s="1"/>
  <c r="I317" i="8" s="1"/>
  <c r="E317" i="8"/>
  <c r="O316" i="8"/>
  <c r="P316" i="8" s="1"/>
  <c r="G316" i="8"/>
  <c r="H316" i="8" s="1"/>
  <c r="I316" i="8" s="1"/>
  <c r="E316" i="8"/>
  <c r="O315" i="8"/>
  <c r="P315" i="8" s="1"/>
  <c r="G315" i="8"/>
  <c r="H315" i="8" s="1"/>
  <c r="I315" i="8" s="1"/>
  <c r="E315" i="8"/>
  <c r="O314" i="8"/>
  <c r="P314" i="8" s="1"/>
  <c r="G314" i="8"/>
  <c r="H314" i="8" s="1"/>
  <c r="I314" i="8" s="1"/>
  <c r="E314" i="8"/>
  <c r="M314" i="8" s="1"/>
  <c r="R314" i="8" s="1"/>
  <c r="S314" i="8" s="1"/>
  <c r="R313" i="8"/>
  <c r="S313" i="8" s="1"/>
  <c r="O313" i="8"/>
  <c r="P313" i="8" s="1"/>
  <c r="G313" i="8"/>
  <c r="H313" i="8" s="1"/>
  <c r="I313" i="8" s="1"/>
  <c r="E313" i="8"/>
  <c r="M313" i="8" s="1"/>
  <c r="O312" i="8"/>
  <c r="P312" i="8" s="1"/>
  <c r="G312" i="8"/>
  <c r="H312" i="8" s="1"/>
  <c r="I312" i="8" s="1"/>
  <c r="E312" i="8"/>
  <c r="O311" i="8"/>
  <c r="P311" i="8" s="1"/>
  <c r="G311" i="8"/>
  <c r="H311" i="8" s="1"/>
  <c r="I311" i="8" s="1"/>
  <c r="E311" i="8"/>
  <c r="O301" i="8"/>
  <c r="P301" i="8" s="1"/>
  <c r="G301" i="8"/>
  <c r="H301" i="8" s="1"/>
  <c r="I301" i="8" s="1"/>
  <c r="E301" i="8"/>
  <c r="M301" i="8" s="1"/>
  <c r="R301" i="8" s="1"/>
  <c r="S301" i="8" s="1"/>
  <c r="O300" i="8"/>
  <c r="P300" i="8" s="1"/>
  <c r="G300" i="8"/>
  <c r="H300" i="8" s="1"/>
  <c r="I300" i="8" s="1"/>
  <c r="E300" i="8"/>
  <c r="S299" i="8"/>
  <c r="Q299" i="8"/>
  <c r="P299" i="8"/>
  <c r="O299" i="8"/>
  <c r="G299" i="8"/>
  <c r="H299" i="8" s="1"/>
  <c r="I299" i="8" s="1"/>
  <c r="E299" i="8"/>
  <c r="F299" i="8" s="1"/>
  <c r="O298" i="8"/>
  <c r="P298" i="8" s="1"/>
  <c r="G298" i="8"/>
  <c r="H298" i="8" s="1"/>
  <c r="I298" i="8" s="1"/>
  <c r="E298" i="8"/>
  <c r="S297" i="8"/>
  <c r="Q297" i="8"/>
  <c r="P297" i="8"/>
  <c r="O297" i="8"/>
  <c r="G297" i="8"/>
  <c r="H297" i="8" s="1"/>
  <c r="I297" i="8" s="1"/>
  <c r="E297" i="8"/>
  <c r="F297" i="8" s="1"/>
  <c r="O296" i="8"/>
  <c r="G296" i="8"/>
  <c r="H296" i="8" s="1"/>
  <c r="I296" i="8" s="1"/>
  <c r="E296" i="8"/>
  <c r="O295" i="8"/>
  <c r="P295" i="8" s="1"/>
  <c r="G295" i="8"/>
  <c r="H295" i="8" s="1"/>
  <c r="I295" i="8" s="1"/>
  <c r="E295" i="8"/>
  <c r="S294" i="8"/>
  <c r="Q294" i="8"/>
  <c r="P294" i="8"/>
  <c r="V294" i="8" s="1"/>
  <c r="W294" i="8" s="1"/>
  <c r="O294" i="8"/>
  <c r="G294" i="8"/>
  <c r="H294" i="8" s="1"/>
  <c r="I294" i="8" s="1"/>
  <c r="E294" i="8"/>
  <c r="O293" i="8"/>
  <c r="P293" i="8" s="1"/>
  <c r="G293" i="8"/>
  <c r="H293" i="8" s="1"/>
  <c r="I293" i="8" s="1"/>
  <c r="E293" i="8"/>
  <c r="F293" i="8" s="1"/>
  <c r="O292" i="8"/>
  <c r="P292" i="8" s="1"/>
  <c r="G292" i="8"/>
  <c r="H292" i="8" s="1"/>
  <c r="I292" i="8" s="1"/>
  <c r="E292" i="8"/>
  <c r="O291" i="8"/>
  <c r="P291" i="8" s="1"/>
  <c r="G291" i="8"/>
  <c r="H291" i="8" s="1"/>
  <c r="I291" i="8" s="1"/>
  <c r="E291" i="8"/>
  <c r="O290" i="8"/>
  <c r="P290" i="8" s="1"/>
  <c r="G290" i="8"/>
  <c r="H290" i="8" s="1"/>
  <c r="I290" i="8" s="1"/>
  <c r="E290" i="8"/>
  <c r="O289" i="8"/>
  <c r="P289" i="8" s="1"/>
  <c r="G289" i="8"/>
  <c r="H289" i="8" s="1"/>
  <c r="I289" i="8" s="1"/>
  <c r="E289" i="8"/>
  <c r="M289" i="8" s="1"/>
  <c r="R288" i="8"/>
  <c r="S288" i="8" s="1"/>
  <c r="O288" i="8"/>
  <c r="P288" i="8" s="1"/>
  <c r="G288" i="8"/>
  <c r="H288" i="8" s="1"/>
  <c r="I288" i="8" s="1"/>
  <c r="E288" i="8"/>
  <c r="M288" i="8" s="1"/>
  <c r="O287" i="8"/>
  <c r="P287" i="8" s="1"/>
  <c r="G287" i="8"/>
  <c r="H287" i="8" s="1"/>
  <c r="I287" i="8" s="1"/>
  <c r="E287" i="8"/>
  <c r="O286" i="8"/>
  <c r="P286" i="8" s="1"/>
  <c r="G286" i="8"/>
  <c r="H286" i="8" s="1"/>
  <c r="I286" i="8" s="1"/>
  <c r="E286" i="8"/>
  <c r="O276" i="8"/>
  <c r="P276" i="8" s="1"/>
  <c r="G276" i="8"/>
  <c r="H276" i="8" s="1"/>
  <c r="I276" i="8" s="1"/>
  <c r="E276" i="8"/>
  <c r="O275" i="8"/>
  <c r="P275" i="8" s="1"/>
  <c r="G275" i="8"/>
  <c r="H275" i="8" s="1"/>
  <c r="I275" i="8" s="1"/>
  <c r="E275" i="8"/>
  <c r="S274" i="8"/>
  <c r="Q274" i="8"/>
  <c r="P274" i="8"/>
  <c r="O274" i="8"/>
  <c r="G274" i="8"/>
  <c r="H274" i="8" s="1"/>
  <c r="I274" i="8" s="1"/>
  <c r="E274" i="8"/>
  <c r="O273" i="8"/>
  <c r="P273" i="8" s="1"/>
  <c r="G273" i="8"/>
  <c r="H273" i="8" s="1"/>
  <c r="I273" i="8" s="1"/>
  <c r="E273" i="8"/>
  <c r="S272" i="8"/>
  <c r="Q272" i="8"/>
  <c r="P272" i="8"/>
  <c r="O272" i="8"/>
  <c r="G272" i="8"/>
  <c r="H272" i="8" s="1"/>
  <c r="I272" i="8" s="1"/>
  <c r="E272" i="8"/>
  <c r="F272" i="8" s="1"/>
  <c r="O271" i="8"/>
  <c r="G271" i="8"/>
  <c r="H271" i="8" s="1"/>
  <c r="I271" i="8" s="1"/>
  <c r="E271" i="8"/>
  <c r="O270" i="8"/>
  <c r="P270" i="8" s="1"/>
  <c r="G270" i="8"/>
  <c r="H270" i="8" s="1"/>
  <c r="I270" i="8" s="1"/>
  <c r="E270" i="8"/>
  <c r="S269" i="8"/>
  <c r="Q269" i="8"/>
  <c r="P269" i="8"/>
  <c r="V269" i="8" s="1"/>
  <c r="W269" i="8" s="1"/>
  <c r="O269" i="8"/>
  <c r="G269" i="8"/>
  <c r="H269" i="8" s="1"/>
  <c r="I269" i="8" s="1"/>
  <c r="E269" i="8"/>
  <c r="O268" i="8"/>
  <c r="P268" i="8" s="1"/>
  <c r="G268" i="8"/>
  <c r="H268" i="8" s="1"/>
  <c r="I268" i="8" s="1"/>
  <c r="E268" i="8"/>
  <c r="F268" i="8" s="1"/>
  <c r="O267" i="8"/>
  <c r="P267" i="8" s="1"/>
  <c r="G267" i="8"/>
  <c r="H267" i="8" s="1"/>
  <c r="I267" i="8" s="1"/>
  <c r="E267" i="8"/>
  <c r="O266" i="8"/>
  <c r="P266" i="8" s="1"/>
  <c r="G266" i="8"/>
  <c r="H266" i="8" s="1"/>
  <c r="I266" i="8" s="1"/>
  <c r="E266" i="8"/>
  <c r="O265" i="8"/>
  <c r="P265" i="8" s="1"/>
  <c r="G265" i="8"/>
  <c r="H265" i="8" s="1"/>
  <c r="I265" i="8" s="1"/>
  <c r="E265" i="8"/>
  <c r="O264" i="8"/>
  <c r="P264" i="8" s="1"/>
  <c r="G264" i="8"/>
  <c r="H264" i="8" s="1"/>
  <c r="I264" i="8" s="1"/>
  <c r="E264" i="8"/>
  <c r="M264" i="8" s="1"/>
  <c r="R264" i="8" s="1"/>
  <c r="S264" i="8" s="1"/>
  <c r="O263" i="8"/>
  <c r="P263" i="8" s="1"/>
  <c r="G263" i="8"/>
  <c r="H263" i="8" s="1"/>
  <c r="I263" i="8" s="1"/>
  <c r="E263" i="8"/>
  <c r="O262" i="8"/>
  <c r="P262" i="8" s="1"/>
  <c r="G262" i="8"/>
  <c r="H262" i="8" s="1"/>
  <c r="I262" i="8" s="1"/>
  <c r="E262" i="8"/>
  <c r="O261" i="8"/>
  <c r="P261" i="8" s="1"/>
  <c r="G261" i="8"/>
  <c r="H261" i="8" s="1"/>
  <c r="I261" i="8" s="1"/>
  <c r="E261" i="8"/>
  <c r="O248" i="8"/>
  <c r="P248" i="8" s="1"/>
  <c r="G248" i="8"/>
  <c r="H248" i="8" s="1"/>
  <c r="I248" i="8" s="1"/>
  <c r="E248" i="8"/>
  <c r="O247" i="8"/>
  <c r="P247" i="8" s="1"/>
  <c r="G247" i="8"/>
  <c r="H247" i="8" s="1"/>
  <c r="I247" i="8" s="1"/>
  <c r="E247" i="8"/>
  <c r="S246" i="8"/>
  <c r="Q246" i="8"/>
  <c r="P246" i="8"/>
  <c r="O246" i="8"/>
  <c r="G246" i="8"/>
  <c r="H246" i="8" s="1"/>
  <c r="I246" i="8" s="1"/>
  <c r="E246" i="8"/>
  <c r="O245" i="8"/>
  <c r="P245" i="8" s="1"/>
  <c r="G245" i="8"/>
  <c r="H245" i="8" s="1"/>
  <c r="I245" i="8" s="1"/>
  <c r="E245" i="8"/>
  <c r="S244" i="8"/>
  <c r="Q244" i="8"/>
  <c r="P244" i="8"/>
  <c r="O244" i="8"/>
  <c r="G244" i="8"/>
  <c r="H244" i="8" s="1"/>
  <c r="I244" i="8" s="1"/>
  <c r="E244" i="8"/>
  <c r="F244" i="8" s="1"/>
  <c r="O243" i="8"/>
  <c r="G243" i="8"/>
  <c r="H243" i="8" s="1"/>
  <c r="I243" i="8" s="1"/>
  <c r="E243" i="8"/>
  <c r="O242" i="8"/>
  <c r="P242" i="8" s="1"/>
  <c r="G242" i="8"/>
  <c r="H242" i="8" s="1"/>
  <c r="I242" i="8" s="1"/>
  <c r="E242" i="8"/>
  <c r="S241" i="8"/>
  <c r="Q241" i="8"/>
  <c r="P241" i="8"/>
  <c r="V241" i="8" s="1"/>
  <c r="W241" i="8" s="1"/>
  <c r="O241" i="8"/>
  <c r="G241" i="8"/>
  <c r="H241" i="8" s="1"/>
  <c r="I241" i="8" s="1"/>
  <c r="E241" i="8"/>
  <c r="O240" i="8"/>
  <c r="P240" i="8" s="1"/>
  <c r="G240" i="8"/>
  <c r="H240" i="8" s="1"/>
  <c r="I240" i="8" s="1"/>
  <c r="E240" i="8"/>
  <c r="F240" i="8" s="1"/>
  <c r="O239" i="8"/>
  <c r="P239" i="8" s="1"/>
  <c r="G239" i="8"/>
  <c r="H239" i="8" s="1"/>
  <c r="I239" i="8" s="1"/>
  <c r="E239" i="8"/>
  <c r="O238" i="8"/>
  <c r="P238" i="8" s="1"/>
  <c r="G238" i="8"/>
  <c r="H238" i="8" s="1"/>
  <c r="I238" i="8" s="1"/>
  <c r="E238" i="8"/>
  <c r="O237" i="8"/>
  <c r="P237" i="8" s="1"/>
  <c r="G237" i="8"/>
  <c r="H237" i="8" s="1"/>
  <c r="I237" i="8" s="1"/>
  <c r="E237" i="8"/>
  <c r="O236" i="8"/>
  <c r="P236" i="8" s="1"/>
  <c r="G236" i="8"/>
  <c r="H236" i="8" s="1"/>
  <c r="I236" i="8" s="1"/>
  <c r="E236" i="8"/>
  <c r="M236" i="8" s="1"/>
  <c r="O235" i="8"/>
  <c r="P235" i="8" s="1"/>
  <c r="G235" i="8"/>
  <c r="H235" i="8" s="1"/>
  <c r="I235" i="8" s="1"/>
  <c r="E235" i="8"/>
  <c r="O234" i="8"/>
  <c r="P234" i="8" s="1"/>
  <c r="G234" i="8"/>
  <c r="H234" i="8" s="1"/>
  <c r="I234" i="8" s="1"/>
  <c r="E234" i="8"/>
  <c r="O233" i="8"/>
  <c r="P233" i="8" s="1"/>
  <c r="G233" i="8"/>
  <c r="H233" i="8" s="1"/>
  <c r="I233" i="8" s="1"/>
  <c r="E233" i="8"/>
  <c r="O223" i="8"/>
  <c r="P223" i="8" s="1"/>
  <c r="G223" i="8"/>
  <c r="H223" i="8" s="1"/>
  <c r="I223" i="8" s="1"/>
  <c r="E223" i="8"/>
  <c r="M223" i="8" s="1"/>
  <c r="O222" i="8"/>
  <c r="P222" i="8" s="1"/>
  <c r="G222" i="8"/>
  <c r="H222" i="8" s="1"/>
  <c r="I222" i="8" s="1"/>
  <c r="E222" i="8"/>
  <c r="S221" i="8"/>
  <c r="Q221" i="8"/>
  <c r="P221" i="8"/>
  <c r="O221" i="8"/>
  <c r="G221" i="8"/>
  <c r="H221" i="8" s="1"/>
  <c r="I221" i="8" s="1"/>
  <c r="E221" i="8"/>
  <c r="F221" i="8" s="1"/>
  <c r="O220" i="8"/>
  <c r="P220" i="8" s="1"/>
  <c r="G220" i="8"/>
  <c r="H220" i="8" s="1"/>
  <c r="I220" i="8" s="1"/>
  <c r="E220" i="8"/>
  <c r="S219" i="8"/>
  <c r="Q219" i="8"/>
  <c r="P219" i="8"/>
  <c r="O219" i="8"/>
  <c r="G219" i="8"/>
  <c r="H219" i="8" s="1"/>
  <c r="I219" i="8" s="1"/>
  <c r="E219" i="8"/>
  <c r="F219" i="8" s="1"/>
  <c r="O218" i="8"/>
  <c r="P218" i="8" s="1"/>
  <c r="G218" i="8"/>
  <c r="H218" i="8" s="1"/>
  <c r="I218" i="8" s="1"/>
  <c r="E218" i="8"/>
  <c r="O217" i="8"/>
  <c r="P217" i="8" s="1"/>
  <c r="G217" i="8"/>
  <c r="H217" i="8" s="1"/>
  <c r="I217" i="8" s="1"/>
  <c r="E217" i="8"/>
  <c r="S216" i="8"/>
  <c r="Q216" i="8"/>
  <c r="P216" i="8"/>
  <c r="V216" i="8" s="1"/>
  <c r="W216" i="8" s="1"/>
  <c r="O216" i="8"/>
  <c r="G216" i="8"/>
  <c r="H216" i="8" s="1"/>
  <c r="I216" i="8" s="1"/>
  <c r="E216" i="8"/>
  <c r="O215" i="8"/>
  <c r="P215" i="8" s="1"/>
  <c r="G215" i="8"/>
  <c r="H215" i="8" s="1"/>
  <c r="I215" i="8" s="1"/>
  <c r="E215" i="8"/>
  <c r="F215" i="8" s="1"/>
  <c r="O214" i="8"/>
  <c r="P214" i="8" s="1"/>
  <c r="G214" i="8"/>
  <c r="H214" i="8" s="1"/>
  <c r="I214" i="8" s="1"/>
  <c r="E214" i="8"/>
  <c r="O213" i="8"/>
  <c r="P213" i="8" s="1"/>
  <c r="G213" i="8"/>
  <c r="H213" i="8" s="1"/>
  <c r="I213" i="8" s="1"/>
  <c r="E213" i="8"/>
  <c r="O212" i="8"/>
  <c r="P212" i="8" s="1"/>
  <c r="G212" i="8"/>
  <c r="H212" i="8" s="1"/>
  <c r="I212" i="8" s="1"/>
  <c r="E212" i="8"/>
  <c r="O211" i="8"/>
  <c r="P211" i="8" s="1"/>
  <c r="G211" i="8"/>
  <c r="H211" i="8" s="1"/>
  <c r="I211" i="8" s="1"/>
  <c r="E211" i="8"/>
  <c r="M211" i="8" s="1"/>
  <c r="O210" i="8"/>
  <c r="P210" i="8" s="1"/>
  <c r="G210" i="8"/>
  <c r="H210" i="8" s="1"/>
  <c r="I210" i="8" s="1"/>
  <c r="E210" i="8"/>
  <c r="O209" i="8"/>
  <c r="P209" i="8" s="1"/>
  <c r="G209" i="8"/>
  <c r="H209" i="8" s="1"/>
  <c r="I209" i="8" s="1"/>
  <c r="E209" i="8"/>
  <c r="O208" i="8"/>
  <c r="P208" i="8" s="1"/>
  <c r="G208" i="8"/>
  <c r="H208" i="8" s="1"/>
  <c r="I208" i="8" s="1"/>
  <c r="E208" i="8"/>
  <c r="O198" i="8"/>
  <c r="P198" i="8" s="1"/>
  <c r="G198" i="8"/>
  <c r="H198" i="8" s="1"/>
  <c r="I198" i="8" s="1"/>
  <c r="E198" i="8"/>
  <c r="O197" i="8"/>
  <c r="P197" i="8" s="1"/>
  <c r="G197" i="8"/>
  <c r="H197" i="8" s="1"/>
  <c r="I197" i="8" s="1"/>
  <c r="E197" i="8"/>
  <c r="S196" i="8"/>
  <c r="Q196" i="8"/>
  <c r="P196" i="8"/>
  <c r="O196" i="8"/>
  <c r="G196" i="8"/>
  <c r="H196" i="8" s="1"/>
  <c r="I196" i="8" s="1"/>
  <c r="E196" i="8"/>
  <c r="F196" i="8" s="1"/>
  <c r="O195" i="8"/>
  <c r="P195" i="8" s="1"/>
  <c r="G195" i="8"/>
  <c r="H195" i="8" s="1"/>
  <c r="I195" i="8" s="1"/>
  <c r="E195" i="8"/>
  <c r="S194" i="8"/>
  <c r="Q194" i="8"/>
  <c r="P194" i="8"/>
  <c r="O194" i="8"/>
  <c r="G194" i="8"/>
  <c r="H194" i="8" s="1"/>
  <c r="I194" i="8" s="1"/>
  <c r="E194" i="8"/>
  <c r="F194" i="8" s="1"/>
  <c r="O193" i="8"/>
  <c r="P193" i="8" s="1"/>
  <c r="G193" i="8"/>
  <c r="H193" i="8" s="1"/>
  <c r="I193" i="8" s="1"/>
  <c r="E193" i="8"/>
  <c r="O192" i="8"/>
  <c r="P192" i="8" s="1"/>
  <c r="G192" i="8"/>
  <c r="H192" i="8" s="1"/>
  <c r="I192" i="8" s="1"/>
  <c r="E192" i="8"/>
  <c r="S191" i="8"/>
  <c r="Q191" i="8"/>
  <c r="P191" i="8"/>
  <c r="V191" i="8" s="1"/>
  <c r="W191" i="8" s="1"/>
  <c r="O191" i="8"/>
  <c r="G191" i="8"/>
  <c r="H191" i="8" s="1"/>
  <c r="I191" i="8" s="1"/>
  <c r="E191" i="8"/>
  <c r="O190" i="8"/>
  <c r="P190" i="8" s="1"/>
  <c r="G190" i="8"/>
  <c r="H190" i="8" s="1"/>
  <c r="I190" i="8" s="1"/>
  <c r="E190" i="8"/>
  <c r="F190" i="8" s="1"/>
  <c r="O189" i="8"/>
  <c r="P189" i="8" s="1"/>
  <c r="G189" i="8"/>
  <c r="H189" i="8" s="1"/>
  <c r="I189" i="8" s="1"/>
  <c r="E189" i="8"/>
  <c r="O188" i="8"/>
  <c r="P188" i="8" s="1"/>
  <c r="G188" i="8"/>
  <c r="H188" i="8" s="1"/>
  <c r="I188" i="8" s="1"/>
  <c r="E188" i="8"/>
  <c r="O187" i="8"/>
  <c r="P187" i="8" s="1"/>
  <c r="G187" i="8"/>
  <c r="H187" i="8" s="1"/>
  <c r="I187" i="8" s="1"/>
  <c r="E187" i="8"/>
  <c r="O186" i="8"/>
  <c r="P186" i="8" s="1"/>
  <c r="G186" i="8"/>
  <c r="H186" i="8" s="1"/>
  <c r="I186" i="8" s="1"/>
  <c r="E186" i="8"/>
  <c r="O185" i="8"/>
  <c r="P185" i="8" s="1"/>
  <c r="G185" i="8"/>
  <c r="H185" i="8" s="1"/>
  <c r="I185" i="8" s="1"/>
  <c r="E185" i="8"/>
  <c r="O184" i="8"/>
  <c r="P184" i="8" s="1"/>
  <c r="G184" i="8"/>
  <c r="H184" i="8" s="1"/>
  <c r="I184" i="8" s="1"/>
  <c r="E184" i="8"/>
  <c r="O183" i="8"/>
  <c r="P183" i="8" s="1"/>
  <c r="G183" i="8"/>
  <c r="H183" i="8" s="1"/>
  <c r="I183" i="8" s="1"/>
  <c r="E183" i="8"/>
  <c r="O173" i="8"/>
  <c r="P173" i="8" s="1"/>
  <c r="G173" i="8"/>
  <c r="H173" i="8" s="1"/>
  <c r="I173" i="8" s="1"/>
  <c r="E173" i="8"/>
  <c r="M173" i="8" s="1"/>
  <c r="O172" i="8"/>
  <c r="P172" i="8" s="1"/>
  <c r="G172" i="8"/>
  <c r="H172" i="8" s="1"/>
  <c r="I172" i="8" s="1"/>
  <c r="E172" i="8"/>
  <c r="S171" i="8"/>
  <c r="Q171" i="8"/>
  <c r="P171" i="8"/>
  <c r="O171" i="8"/>
  <c r="G171" i="8"/>
  <c r="H171" i="8" s="1"/>
  <c r="I171" i="8" s="1"/>
  <c r="E171" i="8"/>
  <c r="F171" i="8" s="1"/>
  <c r="O170" i="8"/>
  <c r="P170" i="8" s="1"/>
  <c r="G170" i="8"/>
  <c r="H170" i="8" s="1"/>
  <c r="I170" i="8" s="1"/>
  <c r="E170" i="8"/>
  <c r="S169" i="8"/>
  <c r="Q169" i="8"/>
  <c r="P169" i="8"/>
  <c r="O169" i="8"/>
  <c r="G169" i="8"/>
  <c r="H169" i="8" s="1"/>
  <c r="I169" i="8" s="1"/>
  <c r="E169" i="8"/>
  <c r="F169" i="8" s="1"/>
  <c r="O168" i="8"/>
  <c r="P168" i="8" s="1"/>
  <c r="G168" i="8"/>
  <c r="H168" i="8" s="1"/>
  <c r="I168" i="8" s="1"/>
  <c r="E168" i="8"/>
  <c r="O167" i="8"/>
  <c r="P167" i="8" s="1"/>
  <c r="G167" i="8"/>
  <c r="H167" i="8" s="1"/>
  <c r="I167" i="8" s="1"/>
  <c r="E167" i="8"/>
  <c r="S166" i="8"/>
  <c r="Q166" i="8"/>
  <c r="P166" i="8"/>
  <c r="V166" i="8" s="1"/>
  <c r="W166" i="8" s="1"/>
  <c r="O166" i="8"/>
  <c r="G166" i="8"/>
  <c r="H166" i="8" s="1"/>
  <c r="I166" i="8" s="1"/>
  <c r="E166" i="8"/>
  <c r="O165" i="8"/>
  <c r="P165" i="8" s="1"/>
  <c r="G165" i="8"/>
  <c r="H165" i="8" s="1"/>
  <c r="I165" i="8" s="1"/>
  <c r="E165" i="8"/>
  <c r="F165" i="8" s="1"/>
  <c r="O164" i="8"/>
  <c r="P164" i="8" s="1"/>
  <c r="G164" i="8"/>
  <c r="H164" i="8" s="1"/>
  <c r="I164" i="8" s="1"/>
  <c r="E164" i="8"/>
  <c r="O163" i="8"/>
  <c r="P163" i="8" s="1"/>
  <c r="G163" i="8"/>
  <c r="H163" i="8" s="1"/>
  <c r="I163" i="8" s="1"/>
  <c r="E163" i="8"/>
  <c r="O162" i="8"/>
  <c r="P162" i="8" s="1"/>
  <c r="G162" i="8"/>
  <c r="H162" i="8" s="1"/>
  <c r="I162" i="8" s="1"/>
  <c r="E162" i="8"/>
  <c r="O161" i="8"/>
  <c r="P161" i="8" s="1"/>
  <c r="G161" i="8"/>
  <c r="H161" i="8" s="1"/>
  <c r="I161" i="8" s="1"/>
  <c r="E161" i="8"/>
  <c r="M161" i="8" s="1"/>
  <c r="O160" i="8"/>
  <c r="P160" i="8" s="1"/>
  <c r="G160" i="8"/>
  <c r="H160" i="8" s="1"/>
  <c r="I160" i="8" s="1"/>
  <c r="E160" i="8"/>
  <c r="O159" i="8"/>
  <c r="P159" i="8" s="1"/>
  <c r="G159" i="8"/>
  <c r="H159" i="8" s="1"/>
  <c r="I159" i="8" s="1"/>
  <c r="E159" i="8"/>
  <c r="O158" i="8"/>
  <c r="P158" i="8" s="1"/>
  <c r="G158" i="8"/>
  <c r="H158" i="8" s="1"/>
  <c r="I158" i="8" s="1"/>
  <c r="E158" i="8"/>
  <c r="O148" i="8"/>
  <c r="P148" i="8" s="1"/>
  <c r="G148" i="8"/>
  <c r="H148" i="8" s="1"/>
  <c r="I148" i="8" s="1"/>
  <c r="E148" i="8"/>
  <c r="O147" i="8"/>
  <c r="P147" i="8" s="1"/>
  <c r="G147" i="8"/>
  <c r="H147" i="8" s="1"/>
  <c r="I147" i="8" s="1"/>
  <c r="E147" i="8"/>
  <c r="S146" i="8"/>
  <c r="Q146" i="8"/>
  <c r="P146" i="8"/>
  <c r="O146" i="8"/>
  <c r="G146" i="8"/>
  <c r="H146" i="8" s="1"/>
  <c r="I146" i="8" s="1"/>
  <c r="E146" i="8"/>
  <c r="F146" i="8" s="1"/>
  <c r="O145" i="8"/>
  <c r="P145" i="8" s="1"/>
  <c r="G145" i="8"/>
  <c r="H145" i="8" s="1"/>
  <c r="I145" i="8" s="1"/>
  <c r="E145" i="8"/>
  <c r="S144" i="8"/>
  <c r="Q144" i="8"/>
  <c r="P144" i="8"/>
  <c r="O144" i="8"/>
  <c r="G144" i="8"/>
  <c r="H144" i="8" s="1"/>
  <c r="I144" i="8" s="1"/>
  <c r="E144" i="8"/>
  <c r="F144" i="8" s="1"/>
  <c r="O143" i="8"/>
  <c r="P143" i="8" s="1"/>
  <c r="G143" i="8"/>
  <c r="H143" i="8" s="1"/>
  <c r="I143" i="8" s="1"/>
  <c r="E143" i="8"/>
  <c r="O142" i="8"/>
  <c r="P142" i="8" s="1"/>
  <c r="G142" i="8"/>
  <c r="H142" i="8" s="1"/>
  <c r="I142" i="8" s="1"/>
  <c r="E142" i="8"/>
  <c r="S141" i="8"/>
  <c r="Q141" i="8"/>
  <c r="P141" i="8"/>
  <c r="V141" i="8" s="1"/>
  <c r="W141" i="8" s="1"/>
  <c r="O141" i="8"/>
  <c r="G141" i="8"/>
  <c r="H141" i="8" s="1"/>
  <c r="I141" i="8" s="1"/>
  <c r="E141" i="8"/>
  <c r="O140" i="8"/>
  <c r="P140" i="8" s="1"/>
  <c r="G140" i="8"/>
  <c r="H140" i="8" s="1"/>
  <c r="I140" i="8" s="1"/>
  <c r="E140" i="8"/>
  <c r="F140" i="8" s="1"/>
  <c r="O139" i="8"/>
  <c r="P139" i="8" s="1"/>
  <c r="G139" i="8"/>
  <c r="H139" i="8" s="1"/>
  <c r="I139" i="8" s="1"/>
  <c r="E139" i="8"/>
  <c r="O138" i="8"/>
  <c r="P138" i="8" s="1"/>
  <c r="G138" i="8"/>
  <c r="H138" i="8" s="1"/>
  <c r="I138" i="8" s="1"/>
  <c r="E138" i="8"/>
  <c r="O137" i="8"/>
  <c r="P137" i="8" s="1"/>
  <c r="G137" i="8"/>
  <c r="H137" i="8" s="1"/>
  <c r="I137" i="8" s="1"/>
  <c r="E137" i="8"/>
  <c r="O136" i="8"/>
  <c r="P136" i="8" s="1"/>
  <c r="G136" i="8"/>
  <c r="H136" i="8" s="1"/>
  <c r="I136" i="8" s="1"/>
  <c r="E136" i="8"/>
  <c r="M136" i="8" s="1"/>
  <c r="O135" i="8"/>
  <c r="P135" i="8" s="1"/>
  <c r="G135" i="8"/>
  <c r="H135" i="8" s="1"/>
  <c r="I135" i="8" s="1"/>
  <c r="E135" i="8"/>
  <c r="O134" i="8"/>
  <c r="P134" i="8" s="1"/>
  <c r="G134" i="8"/>
  <c r="H134" i="8" s="1"/>
  <c r="I134" i="8" s="1"/>
  <c r="E134" i="8"/>
  <c r="O133" i="8"/>
  <c r="P133" i="8" s="1"/>
  <c r="G133" i="8"/>
  <c r="H133" i="8" s="1"/>
  <c r="I133" i="8" s="1"/>
  <c r="E133" i="8"/>
  <c r="O123" i="8"/>
  <c r="P123" i="8" s="1"/>
  <c r="G123" i="8"/>
  <c r="H123" i="8" s="1"/>
  <c r="I123" i="8" s="1"/>
  <c r="E123" i="8"/>
  <c r="M123" i="8" s="1"/>
  <c r="O122" i="8"/>
  <c r="P122" i="8" s="1"/>
  <c r="G122" i="8"/>
  <c r="H122" i="8" s="1"/>
  <c r="I122" i="8" s="1"/>
  <c r="E122" i="8"/>
  <c r="S121" i="8"/>
  <c r="Q121" i="8"/>
  <c r="P121" i="8"/>
  <c r="O121" i="8"/>
  <c r="G121" i="8"/>
  <c r="H121" i="8" s="1"/>
  <c r="I121" i="8" s="1"/>
  <c r="E121" i="8"/>
  <c r="F121" i="8" s="1"/>
  <c r="O120" i="8"/>
  <c r="P120" i="8" s="1"/>
  <c r="G120" i="8"/>
  <c r="H120" i="8" s="1"/>
  <c r="I120" i="8" s="1"/>
  <c r="E120" i="8"/>
  <c r="S119" i="8"/>
  <c r="Q119" i="8"/>
  <c r="P119" i="8"/>
  <c r="O119" i="8"/>
  <c r="G119" i="8"/>
  <c r="H119" i="8" s="1"/>
  <c r="I119" i="8" s="1"/>
  <c r="E119" i="8"/>
  <c r="F119" i="8" s="1"/>
  <c r="O118" i="8"/>
  <c r="P118" i="8" s="1"/>
  <c r="G118" i="8"/>
  <c r="H118" i="8" s="1"/>
  <c r="I118" i="8" s="1"/>
  <c r="E118" i="8"/>
  <c r="O117" i="8"/>
  <c r="P117" i="8" s="1"/>
  <c r="G117" i="8"/>
  <c r="H117" i="8" s="1"/>
  <c r="I117" i="8" s="1"/>
  <c r="E117" i="8"/>
  <c r="S116" i="8"/>
  <c r="Q116" i="8"/>
  <c r="P116" i="8"/>
  <c r="V116" i="8" s="1"/>
  <c r="W116" i="8" s="1"/>
  <c r="O116" i="8"/>
  <c r="G116" i="8"/>
  <c r="H116" i="8" s="1"/>
  <c r="I116" i="8" s="1"/>
  <c r="E116" i="8"/>
  <c r="O115" i="8"/>
  <c r="P115" i="8" s="1"/>
  <c r="G115" i="8"/>
  <c r="H115" i="8" s="1"/>
  <c r="I115" i="8" s="1"/>
  <c r="E115" i="8"/>
  <c r="F115" i="8" s="1"/>
  <c r="O114" i="8"/>
  <c r="P114" i="8" s="1"/>
  <c r="G114" i="8"/>
  <c r="H114" i="8" s="1"/>
  <c r="I114" i="8" s="1"/>
  <c r="E114" i="8"/>
  <c r="O113" i="8"/>
  <c r="P113" i="8" s="1"/>
  <c r="G113" i="8"/>
  <c r="H113" i="8" s="1"/>
  <c r="I113" i="8" s="1"/>
  <c r="E113" i="8"/>
  <c r="O112" i="8"/>
  <c r="P112" i="8" s="1"/>
  <c r="G112" i="8"/>
  <c r="H112" i="8" s="1"/>
  <c r="I112" i="8" s="1"/>
  <c r="E112" i="8"/>
  <c r="O111" i="8"/>
  <c r="P111" i="8" s="1"/>
  <c r="G111" i="8"/>
  <c r="H111" i="8" s="1"/>
  <c r="I111" i="8" s="1"/>
  <c r="E111" i="8"/>
  <c r="M111" i="8" s="1"/>
  <c r="O110" i="8"/>
  <c r="P110" i="8" s="1"/>
  <c r="G110" i="8"/>
  <c r="H110" i="8" s="1"/>
  <c r="I110" i="8" s="1"/>
  <c r="E110" i="8"/>
  <c r="O109" i="8"/>
  <c r="P109" i="8" s="1"/>
  <c r="G109" i="8"/>
  <c r="H109" i="8" s="1"/>
  <c r="I109" i="8" s="1"/>
  <c r="E109" i="8"/>
  <c r="O108" i="8"/>
  <c r="P108" i="8" s="1"/>
  <c r="G108" i="8"/>
  <c r="H108" i="8" s="1"/>
  <c r="I108" i="8" s="1"/>
  <c r="E108" i="8"/>
  <c r="O98" i="8"/>
  <c r="P98" i="8" s="1"/>
  <c r="G98" i="8"/>
  <c r="H98" i="8" s="1"/>
  <c r="I98" i="8" s="1"/>
  <c r="E98" i="8"/>
  <c r="M98" i="8" s="1"/>
  <c r="O97" i="8"/>
  <c r="P97" i="8" s="1"/>
  <c r="G97" i="8"/>
  <c r="H97" i="8" s="1"/>
  <c r="I97" i="8" s="1"/>
  <c r="E97" i="8"/>
  <c r="S96" i="8"/>
  <c r="Q96" i="8"/>
  <c r="P96" i="8"/>
  <c r="O96" i="8"/>
  <c r="G96" i="8"/>
  <c r="H96" i="8" s="1"/>
  <c r="I96" i="8" s="1"/>
  <c r="E96" i="8"/>
  <c r="F96" i="8" s="1"/>
  <c r="O95" i="8"/>
  <c r="P95" i="8" s="1"/>
  <c r="G95" i="8"/>
  <c r="H95" i="8" s="1"/>
  <c r="I95" i="8" s="1"/>
  <c r="E95" i="8"/>
  <c r="S94" i="8"/>
  <c r="Q94" i="8"/>
  <c r="P94" i="8"/>
  <c r="O94" i="8"/>
  <c r="G94" i="8"/>
  <c r="H94" i="8" s="1"/>
  <c r="I94" i="8" s="1"/>
  <c r="E94" i="8"/>
  <c r="F94" i="8" s="1"/>
  <c r="O93" i="8"/>
  <c r="P93" i="8" s="1"/>
  <c r="G93" i="8"/>
  <c r="H93" i="8" s="1"/>
  <c r="I93" i="8" s="1"/>
  <c r="E93" i="8"/>
  <c r="O92" i="8"/>
  <c r="P92" i="8" s="1"/>
  <c r="G92" i="8"/>
  <c r="H92" i="8" s="1"/>
  <c r="I92" i="8" s="1"/>
  <c r="E92" i="8"/>
  <c r="S91" i="8"/>
  <c r="Q91" i="8"/>
  <c r="P91" i="8"/>
  <c r="V91" i="8" s="1"/>
  <c r="W91" i="8" s="1"/>
  <c r="O91" i="8"/>
  <c r="G91" i="8"/>
  <c r="H91" i="8" s="1"/>
  <c r="I91" i="8" s="1"/>
  <c r="E91" i="8"/>
  <c r="O90" i="8"/>
  <c r="P90" i="8" s="1"/>
  <c r="G90" i="8"/>
  <c r="H90" i="8" s="1"/>
  <c r="I90" i="8" s="1"/>
  <c r="E90" i="8"/>
  <c r="F90" i="8" s="1"/>
  <c r="O89" i="8"/>
  <c r="P89" i="8" s="1"/>
  <c r="G89" i="8"/>
  <c r="H89" i="8" s="1"/>
  <c r="I89" i="8" s="1"/>
  <c r="E89" i="8"/>
  <c r="O88" i="8"/>
  <c r="P88" i="8" s="1"/>
  <c r="G88" i="8"/>
  <c r="H88" i="8" s="1"/>
  <c r="I88" i="8" s="1"/>
  <c r="E88" i="8"/>
  <c r="O87" i="8"/>
  <c r="P87" i="8" s="1"/>
  <c r="G87" i="8"/>
  <c r="H87" i="8" s="1"/>
  <c r="I87" i="8" s="1"/>
  <c r="E87" i="8"/>
  <c r="O86" i="8"/>
  <c r="P86" i="8" s="1"/>
  <c r="G86" i="8"/>
  <c r="H86" i="8" s="1"/>
  <c r="I86" i="8" s="1"/>
  <c r="E86" i="8"/>
  <c r="O85" i="8"/>
  <c r="P85" i="8" s="1"/>
  <c r="G85" i="8"/>
  <c r="H85" i="8" s="1"/>
  <c r="I85" i="8" s="1"/>
  <c r="E85" i="8"/>
  <c r="O84" i="8"/>
  <c r="P84" i="8" s="1"/>
  <c r="G84" i="8"/>
  <c r="H84" i="8" s="1"/>
  <c r="I84" i="8" s="1"/>
  <c r="E84" i="8"/>
  <c r="O83" i="8"/>
  <c r="P83" i="8" s="1"/>
  <c r="G83" i="8"/>
  <c r="H83" i="8" s="1"/>
  <c r="I83" i="8" s="1"/>
  <c r="E83" i="8"/>
  <c r="O73" i="8"/>
  <c r="P73" i="8" s="1"/>
  <c r="G73" i="8"/>
  <c r="H73" i="8" s="1"/>
  <c r="I73" i="8" s="1"/>
  <c r="E73" i="8"/>
  <c r="M73" i="8" s="1"/>
  <c r="R73" i="8" s="1"/>
  <c r="S73" i="8" s="1"/>
  <c r="O72" i="8"/>
  <c r="P72" i="8" s="1"/>
  <c r="G72" i="8"/>
  <c r="H72" i="8" s="1"/>
  <c r="I72" i="8" s="1"/>
  <c r="E72" i="8"/>
  <c r="S71" i="8"/>
  <c r="Q71" i="8"/>
  <c r="P71" i="8"/>
  <c r="O71" i="8"/>
  <c r="G71" i="8"/>
  <c r="H71" i="8" s="1"/>
  <c r="I71" i="8" s="1"/>
  <c r="E71" i="8"/>
  <c r="O70" i="8"/>
  <c r="P70" i="8" s="1"/>
  <c r="G70" i="8"/>
  <c r="H70" i="8" s="1"/>
  <c r="I70" i="8" s="1"/>
  <c r="E70" i="8"/>
  <c r="S69" i="8"/>
  <c r="Q69" i="8"/>
  <c r="P69" i="8"/>
  <c r="O69" i="8"/>
  <c r="G69" i="8"/>
  <c r="H69" i="8" s="1"/>
  <c r="I69" i="8" s="1"/>
  <c r="E69" i="8"/>
  <c r="F69" i="8" s="1"/>
  <c r="O68" i="8"/>
  <c r="G68" i="8"/>
  <c r="H68" i="8" s="1"/>
  <c r="I68" i="8" s="1"/>
  <c r="E68" i="8"/>
  <c r="O67" i="8"/>
  <c r="P67" i="8" s="1"/>
  <c r="G67" i="8"/>
  <c r="H67" i="8" s="1"/>
  <c r="I67" i="8" s="1"/>
  <c r="E67" i="8"/>
  <c r="S66" i="8"/>
  <c r="Q66" i="8"/>
  <c r="P66" i="8"/>
  <c r="V66" i="8" s="1"/>
  <c r="W66" i="8" s="1"/>
  <c r="O66" i="8"/>
  <c r="G66" i="8"/>
  <c r="H66" i="8" s="1"/>
  <c r="I66" i="8" s="1"/>
  <c r="E66" i="8"/>
  <c r="O65" i="8"/>
  <c r="P65" i="8" s="1"/>
  <c r="G65" i="8"/>
  <c r="H65" i="8" s="1"/>
  <c r="I65" i="8" s="1"/>
  <c r="E65" i="8"/>
  <c r="F65" i="8" s="1"/>
  <c r="O64" i="8"/>
  <c r="P64" i="8" s="1"/>
  <c r="G64" i="8"/>
  <c r="H64" i="8" s="1"/>
  <c r="I64" i="8" s="1"/>
  <c r="E64" i="8"/>
  <c r="O63" i="8"/>
  <c r="P63" i="8" s="1"/>
  <c r="G63" i="8"/>
  <c r="H63" i="8" s="1"/>
  <c r="I63" i="8" s="1"/>
  <c r="E63" i="8"/>
  <c r="O62" i="8"/>
  <c r="P62" i="8" s="1"/>
  <c r="G62" i="8"/>
  <c r="H62" i="8" s="1"/>
  <c r="I62" i="8" s="1"/>
  <c r="E62" i="8"/>
  <c r="O61" i="8"/>
  <c r="P61" i="8" s="1"/>
  <c r="G61" i="8"/>
  <c r="H61" i="8" s="1"/>
  <c r="I61" i="8" s="1"/>
  <c r="E61" i="8"/>
  <c r="O60" i="8"/>
  <c r="P60" i="8" s="1"/>
  <c r="G60" i="8"/>
  <c r="H60" i="8" s="1"/>
  <c r="I60" i="8" s="1"/>
  <c r="E60" i="8"/>
  <c r="O59" i="8"/>
  <c r="P59" i="8" s="1"/>
  <c r="G59" i="8"/>
  <c r="H59" i="8" s="1"/>
  <c r="I59" i="8" s="1"/>
  <c r="E59" i="8"/>
  <c r="M59" i="8" s="1"/>
  <c r="R59" i="8" s="1"/>
  <c r="S59" i="8" s="1"/>
  <c r="O58" i="8"/>
  <c r="P58" i="8" s="1"/>
  <c r="G58" i="8"/>
  <c r="H58" i="8" s="1"/>
  <c r="I58" i="8" s="1"/>
  <c r="E58" i="8"/>
  <c r="O48" i="8"/>
  <c r="P48" i="8" s="1"/>
  <c r="G48" i="8"/>
  <c r="H48" i="8" s="1"/>
  <c r="I48" i="8" s="1"/>
  <c r="E48" i="8"/>
  <c r="M48" i="8" s="1"/>
  <c r="R48" i="8" s="1"/>
  <c r="S48" i="8" s="1"/>
  <c r="O47" i="8"/>
  <c r="P47" i="8" s="1"/>
  <c r="G47" i="8"/>
  <c r="H47" i="8" s="1"/>
  <c r="I47" i="8" s="1"/>
  <c r="E47" i="8"/>
  <c r="S46" i="8"/>
  <c r="Q46" i="8"/>
  <c r="P46" i="8"/>
  <c r="O46" i="8"/>
  <c r="G46" i="8"/>
  <c r="H46" i="8" s="1"/>
  <c r="I46" i="8" s="1"/>
  <c r="E46" i="8"/>
  <c r="O45" i="8"/>
  <c r="P45" i="8" s="1"/>
  <c r="G45" i="8"/>
  <c r="H45" i="8" s="1"/>
  <c r="I45" i="8" s="1"/>
  <c r="E45" i="8"/>
  <c r="S44" i="8"/>
  <c r="Q44" i="8"/>
  <c r="P44" i="8"/>
  <c r="O44" i="8"/>
  <c r="G44" i="8"/>
  <c r="H44" i="8" s="1"/>
  <c r="I44" i="8" s="1"/>
  <c r="E44" i="8"/>
  <c r="F44" i="8" s="1"/>
  <c r="O43" i="8"/>
  <c r="G43" i="8"/>
  <c r="H43" i="8" s="1"/>
  <c r="I43" i="8" s="1"/>
  <c r="E43" i="8"/>
  <c r="O42" i="8"/>
  <c r="P42" i="8" s="1"/>
  <c r="G42" i="8"/>
  <c r="H42" i="8" s="1"/>
  <c r="I42" i="8" s="1"/>
  <c r="E42" i="8"/>
  <c r="S41" i="8"/>
  <c r="Q41" i="8"/>
  <c r="P41" i="8"/>
  <c r="V41" i="8" s="1"/>
  <c r="W41" i="8" s="1"/>
  <c r="O41" i="8"/>
  <c r="G41" i="8"/>
  <c r="H41" i="8" s="1"/>
  <c r="I41" i="8" s="1"/>
  <c r="E41" i="8"/>
  <c r="O40" i="8"/>
  <c r="P40" i="8" s="1"/>
  <c r="G40" i="8"/>
  <c r="H40" i="8" s="1"/>
  <c r="I40" i="8" s="1"/>
  <c r="E40" i="8"/>
  <c r="F40" i="8" s="1"/>
  <c r="O39" i="8"/>
  <c r="P39" i="8" s="1"/>
  <c r="G39" i="8"/>
  <c r="H39" i="8" s="1"/>
  <c r="I39" i="8" s="1"/>
  <c r="E39" i="8"/>
  <c r="O38" i="8"/>
  <c r="P38" i="8" s="1"/>
  <c r="G38" i="8"/>
  <c r="H38" i="8" s="1"/>
  <c r="I38" i="8" s="1"/>
  <c r="E38" i="8"/>
  <c r="O37" i="8"/>
  <c r="P37" i="8" s="1"/>
  <c r="G37" i="8"/>
  <c r="H37" i="8" s="1"/>
  <c r="I37" i="8" s="1"/>
  <c r="E37" i="8"/>
  <c r="O36" i="8"/>
  <c r="P36" i="8" s="1"/>
  <c r="G36" i="8"/>
  <c r="H36" i="8" s="1"/>
  <c r="I36" i="8" s="1"/>
  <c r="E36" i="8"/>
  <c r="O35" i="8"/>
  <c r="P35" i="8" s="1"/>
  <c r="G35" i="8"/>
  <c r="H35" i="8" s="1"/>
  <c r="I35" i="8" s="1"/>
  <c r="E35" i="8"/>
  <c r="O34" i="8"/>
  <c r="P34" i="8" s="1"/>
  <c r="G34" i="8"/>
  <c r="H34" i="8" s="1"/>
  <c r="I34" i="8" s="1"/>
  <c r="E34" i="8"/>
  <c r="O33" i="8"/>
  <c r="P33" i="8" s="1"/>
  <c r="G33" i="8"/>
  <c r="H33" i="8" s="1"/>
  <c r="I33" i="8" s="1"/>
  <c r="E33" i="8"/>
  <c r="O23" i="8"/>
  <c r="P23" i="8" s="1"/>
  <c r="G23" i="8"/>
  <c r="H23" i="8" s="1"/>
  <c r="I23" i="8" s="1"/>
  <c r="E23" i="8"/>
  <c r="M23" i="8" s="1"/>
  <c r="R23" i="8" s="1"/>
  <c r="S23" i="8" s="1"/>
  <c r="O22" i="8"/>
  <c r="P22" i="8" s="1"/>
  <c r="G22" i="8"/>
  <c r="H22" i="8" s="1"/>
  <c r="I22" i="8" s="1"/>
  <c r="E22" i="8"/>
  <c r="S21" i="8"/>
  <c r="Q21" i="8"/>
  <c r="P21" i="8"/>
  <c r="O21" i="8"/>
  <c r="G21" i="8"/>
  <c r="H21" i="8" s="1"/>
  <c r="I21" i="8" s="1"/>
  <c r="E21" i="8"/>
  <c r="O20" i="8"/>
  <c r="P20" i="8" s="1"/>
  <c r="G20" i="8"/>
  <c r="H20" i="8" s="1"/>
  <c r="I20" i="8" s="1"/>
  <c r="E20" i="8"/>
  <c r="S19" i="8"/>
  <c r="Q19" i="8"/>
  <c r="P19" i="8"/>
  <c r="O19" i="8"/>
  <c r="G19" i="8"/>
  <c r="H19" i="8" s="1"/>
  <c r="I19" i="8" s="1"/>
  <c r="E19" i="8"/>
  <c r="F19" i="8" s="1"/>
  <c r="O18" i="8"/>
  <c r="G18" i="8"/>
  <c r="H18" i="8" s="1"/>
  <c r="I18" i="8" s="1"/>
  <c r="E18" i="8"/>
  <c r="O17" i="8"/>
  <c r="P17" i="8" s="1"/>
  <c r="G17" i="8"/>
  <c r="H17" i="8" s="1"/>
  <c r="I17" i="8" s="1"/>
  <c r="E17" i="8"/>
  <c r="S16" i="8"/>
  <c r="Q16" i="8"/>
  <c r="P16" i="8"/>
  <c r="V16" i="8" s="1"/>
  <c r="W16" i="8" s="1"/>
  <c r="O16" i="8"/>
  <c r="G16" i="8"/>
  <c r="H16" i="8" s="1"/>
  <c r="I16" i="8" s="1"/>
  <c r="E16" i="8"/>
  <c r="O15" i="8"/>
  <c r="P15" i="8" s="1"/>
  <c r="G15" i="8"/>
  <c r="H15" i="8" s="1"/>
  <c r="I15" i="8" s="1"/>
  <c r="E15" i="8"/>
  <c r="F15" i="8" s="1"/>
  <c r="O14" i="8"/>
  <c r="P14" i="8" s="1"/>
  <c r="G14" i="8"/>
  <c r="H14" i="8" s="1"/>
  <c r="I14" i="8" s="1"/>
  <c r="E14" i="8"/>
  <c r="O13" i="8"/>
  <c r="P13" i="8" s="1"/>
  <c r="G13" i="8"/>
  <c r="H13" i="8" s="1"/>
  <c r="I13" i="8" s="1"/>
  <c r="E13" i="8"/>
  <c r="O12" i="8"/>
  <c r="P12" i="8" s="1"/>
  <c r="G12" i="8"/>
  <c r="H12" i="8" s="1"/>
  <c r="I12" i="8" s="1"/>
  <c r="E12" i="8"/>
  <c r="O11" i="8"/>
  <c r="P11" i="8" s="1"/>
  <c r="G11" i="8"/>
  <c r="H11" i="8" s="1"/>
  <c r="I11" i="8" s="1"/>
  <c r="E11" i="8"/>
  <c r="O10" i="8"/>
  <c r="P10" i="8" s="1"/>
  <c r="G10" i="8"/>
  <c r="H10" i="8" s="1"/>
  <c r="I10" i="8" s="1"/>
  <c r="E10" i="8"/>
  <c r="O9" i="8"/>
  <c r="P9" i="8" s="1"/>
  <c r="G9" i="8"/>
  <c r="H9" i="8" s="1"/>
  <c r="I9" i="8" s="1"/>
  <c r="E9" i="8"/>
  <c r="O8" i="8"/>
  <c r="P8" i="8" s="1"/>
  <c r="G8" i="8"/>
  <c r="H8" i="8" s="1"/>
  <c r="I8" i="8" s="1"/>
  <c r="E8" i="8"/>
  <c r="C16" i="2"/>
  <c r="C17" i="2"/>
  <c r="Q288" i="8" l="1"/>
  <c r="R289" i="8"/>
  <c r="S289" i="8" s="1"/>
  <c r="Q313" i="8"/>
  <c r="M370" i="8"/>
  <c r="N370" i="8" s="1"/>
  <c r="M365" i="8"/>
  <c r="Q365" i="8" s="1"/>
  <c r="M375" i="8"/>
  <c r="M366" i="8"/>
  <c r="R366" i="8" s="1"/>
  <c r="S366" i="8" s="1"/>
  <c r="V366" i="8" s="1"/>
  <c r="W366" i="8" s="1"/>
  <c r="F318" i="8"/>
  <c r="F368" i="8"/>
  <c r="R362" i="8"/>
  <c r="S362" i="8" s="1"/>
  <c r="Q362" i="8"/>
  <c r="R364" i="8"/>
  <c r="S364" i="8" s="1"/>
  <c r="V364" i="8" s="1"/>
  <c r="W364" i="8" s="1"/>
  <c r="Q364" i="8"/>
  <c r="R368" i="8"/>
  <c r="R373" i="8"/>
  <c r="R376" i="8"/>
  <c r="S376" i="8" s="1"/>
  <c r="V376" i="8" s="1"/>
  <c r="W376" i="8" s="1"/>
  <c r="Q376" i="8"/>
  <c r="Q361" i="8"/>
  <c r="R361" i="8"/>
  <c r="Q363" i="8"/>
  <c r="R363" i="8"/>
  <c r="S363" i="8" s="1"/>
  <c r="M367" i="8"/>
  <c r="N367" i="8" s="1"/>
  <c r="R371" i="8"/>
  <c r="M372" i="8"/>
  <c r="M374" i="8"/>
  <c r="N374" i="8" s="1"/>
  <c r="F367" i="8"/>
  <c r="F369" i="8"/>
  <c r="F371" i="8"/>
  <c r="F373" i="8"/>
  <c r="F337" i="8"/>
  <c r="M340" i="8"/>
  <c r="Q340" i="8" s="1"/>
  <c r="M275" i="8"/>
  <c r="R275" i="8" s="1"/>
  <c r="S275" i="8" s="1"/>
  <c r="V275" i="8" s="1"/>
  <c r="W275" i="8" s="1"/>
  <c r="F276" i="8"/>
  <c r="F295" i="8"/>
  <c r="F316" i="8"/>
  <c r="M341" i="8"/>
  <c r="R341" i="8" s="1"/>
  <c r="S341" i="8" s="1"/>
  <c r="V341" i="8" s="1"/>
  <c r="W341" i="8" s="1"/>
  <c r="M345" i="8"/>
  <c r="R345" i="8" s="1"/>
  <c r="S345" i="8" s="1"/>
  <c r="V345" i="8" s="1"/>
  <c r="W345" i="8" s="1"/>
  <c r="F270" i="8"/>
  <c r="M291" i="8"/>
  <c r="R291" i="8" s="1"/>
  <c r="S291" i="8" s="1"/>
  <c r="V291" i="8" s="1"/>
  <c r="W291" i="8" s="1"/>
  <c r="F301" i="8"/>
  <c r="M311" i="8"/>
  <c r="Q311" i="8" s="1"/>
  <c r="M312" i="8"/>
  <c r="R312" i="8" s="1"/>
  <c r="S312" i="8" s="1"/>
  <c r="F314" i="8"/>
  <c r="F336" i="8"/>
  <c r="F351" i="8"/>
  <c r="M58" i="8"/>
  <c r="Q58" i="8" s="1"/>
  <c r="M109" i="8"/>
  <c r="R109" i="8" s="1"/>
  <c r="S109" i="8" s="1"/>
  <c r="F261" i="8"/>
  <c r="F262" i="8"/>
  <c r="M263" i="8"/>
  <c r="M266" i="8"/>
  <c r="R266" i="8" s="1"/>
  <c r="S266" i="8" s="1"/>
  <c r="V266" i="8" s="1"/>
  <c r="W266" i="8" s="1"/>
  <c r="M320" i="8"/>
  <c r="R320" i="8" s="1"/>
  <c r="S320" i="8" s="1"/>
  <c r="V320" i="8" s="1"/>
  <c r="W320" i="8" s="1"/>
  <c r="M336" i="8"/>
  <c r="R336" i="8" s="1"/>
  <c r="M337" i="8"/>
  <c r="R337" i="8" s="1"/>
  <c r="S337" i="8" s="1"/>
  <c r="F339" i="8"/>
  <c r="F341" i="8"/>
  <c r="F345" i="8"/>
  <c r="M274" i="8"/>
  <c r="R274" i="8" s="1"/>
  <c r="M339" i="8"/>
  <c r="R339" i="8" s="1"/>
  <c r="S339" i="8" s="1"/>
  <c r="V339" i="8" s="1"/>
  <c r="W339" i="8" s="1"/>
  <c r="P346" i="8"/>
  <c r="M349" i="8"/>
  <c r="R349" i="8" s="1"/>
  <c r="V349" i="8"/>
  <c r="W349" i="8" s="1"/>
  <c r="F264" i="8"/>
  <c r="F266" i="8"/>
  <c r="M270" i="8"/>
  <c r="R270" i="8" s="1"/>
  <c r="S270" i="8" s="1"/>
  <c r="V270" i="8" s="1"/>
  <c r="W270" i="8" s="1"/>
  <c r="F274" i="8"/>
  <c r="F289" i="8"/>
  <c r="F291" i="8"/>
  <c r="M295" i="8"/>
  <c r="R295" i="8" s="1"/>
  <c r="S295" i="8" s="1"/>
  <c r="V295" i="8" s="1"/>
  <c r="W295" i="8" s="1"/>
  <c r="M315" i="8"/>
  <c r="Q315" i="8" s="1"/>
  <c r="M316" i="8"/>
  <c r="R316" i="8" s="1"/>
  <c r="S316" i="8" s="1"/>
  <c r="V316" i="8" s="1"/>
  <c r="W316" i="8" s="1"/>
  <c r="F320" i="8"/>
  <c r="M324" i="8"/>
  <c r="R324" i="8" s="1"/>
  <c r="M325" i="8"/>
  <c r="Q325" i="8" s="1"/>
  <c r="F326" i="8"/>
  <c r="V347" i="8"/>
  <c r="W347" i="8" s="1"/>
  <c r="M350" i="8"/>
  <c r="R350" i="8" s="1"/>
  <c r="S350" i="8" s="1"/>
  <c r="V350" i="8" s="1"/>
  <c r="W350" i="8" s="1"/>
  <c r="Q336" i="8"/>
  <c r="Q338" i="8"/>
  <c r="R338" i="8"/>
  <c r="S338" i="8" s="1"/>
  <c r="V272" i="8"/>
  <c r="W272" i="8" s="1"/>
  <c r="M276" i="8"/>
  <c r="R276" i="8" s="1"/>
  <c r="S276" i="8" s="1"/>
  <c r="V276" i="8" s="1"/>
  <c r="W276" i="8" s="1"/>
  <c r="V297" i="8"/>
  <c r="W297" i="8" s="1"/>
  <c r="M299" i="8"/>
  <c r="R299" i="8" s="1"/>
  <c r="V299" i="8"/>
  <c r="W299" i="8" s="1"/>
  <c r="V322" i="8"/>
  <c r="W322" i="8" s="1"/>
  <c r="M326" i="8"/>
  <c r="R326" i="8" s="1"/>
  <c r="S326" i="8" s="1"/>
  <c r="V326" i="8" s="1"/>
  <c r="W326" i="8" s="1"/>
  <c r="Q337" i="8"/>
  <c r="F338" i="8"/>
  <c r="Q341" i="8"/>
  <c r="M342" i="8"/>
  <c r="F342" i="8"/>
  <c r="M346" i="8"/>
  <c r="F346" i="8"/>
  <c r="F350" i="8"/>
  <c r="V351" i="8"/>
  <c r="W351" i="8" s="1"/>
  <c r="M33" i="8"/>
  <c r="Q33" i="8" s="1"/>
  <c r="M34" i="8"/>
  <c r="R34" i="8" s="1"/>
  <c r="S34" i="8" s="1"/>
  <c r="M84" i="8"/>
  <c r="R84" i="8" s="1"/>
  <c r="S84" i="8" s="1"/>
  <c r="M186" i="8"/>
  <c r="R186" i="8" s="1"/>
  <c r="S186" i="8" s="1"/>
  <c r="M265" i="8"/>
  <c r="Q265" i="8" s="1"/>
  <c r="P271" i="8"/>
  <c r="V274" i="8"/>
  <c r="W274" i="8" s="1"/>
  <c r="M286" i="8"/>
  <c r="R286" i="8" s="1"/>
  <c r="F287" i="8"/>
  <c r="M290" i="8"/>
  <c r="Q290" i="8" s="1"/>
  <c r="P296" i="8"/>
  <c r="M300" i="8"/>
  <c r="Q300" i="8" s="1"/>
  <c r="F311" i="8"/>
  <c r="F312" i="8"/>
  <c r="V313" i="8"/>
  <c r="W313" i="8" s="1"/>
  <c r="P321" i="8"/>
  <c r="V324" i="8"/>
  <c r="W324" i="8" s="1"/>
  <c r="R340" i="8"/>
  <c r="S340" i="8" s="1"/>
  <c r="V340" i="8" s="1"/>
  <c r="W340" i="8" s="1"/>
  <c r="F340" i="8"/>
  <c r="M343" i="8"/>
  <c r="M344" i="8"/>
  <c r="R344" i="8" s="1"/>
  <c r="F344" i="8"/>
  <c r="M347" i="8"/>
  <c r="R347" i="8" s="1"/>
  <c r="M348" i="8"/>
  <c r="F348" i="8"/>
  <c r="Q351" i="8"/>
  <c r="R311" i="8"/>
  <c r="F313" i="8"/>
  <c r="M317" i="8"/>
  <c r="F317" i="8"/>
  <c r="M321" i="8"/>
  <c r="F321" i="8"/>
  <c r="F325" i="8"/>
  <c r="Q314" i="8"/>
  <c r="F315" i="8"/>
  <c r="M318" i="8"/>
  <c r="M319" i="8"/>
  <c r="R319" i="8" s="1"/>
  <c r="F319" i="8"/>
  <c r="M322" i="8"/>
  <c r="R322" i="8" s="1"/>
  <c r="M323" i="8"/>
  <c r="F323" i="8"/>
  <c r="V288" i="8"/>
  <c r="W288" i="8" s="1"/>
  <c r="M287" i="8"/>
  <c r="R287" i="8" s="1"/>
  <c r="S287" i="8" s="1"/>
  <c r="F286" i="8"/>
  <c r="Q286" i="8"/>
  <c r="R300" i="8"/>
  <c r="S300" i="8" s="1"/>
  <c r="V300" i="8" s="1"/>
  <c r="W300" i="8" s="1"/>
  <c r="Q287" i="8"/>
  <c r="V287" i="8" s="1"/>
  <c r="W287" i="8" s="1"/>
  <c r="F288" i="8"/>
  <c r="Q291" i="8"/>
  <c r="M292" i="8"/>
  <c r="F292" i="8"/>
  <c r="M296" i="8"/>
  <c r="F296" i="8"/>
  <c r="F300" i="8"/>
  <c r="V301" i="8"/>
  <c r="W301" i="8" s="1"/>
  <c r="Q289" i="8"/>
  <c r="F290" i="8"/>
  <c r="M293" i="8"/>
  <c r="M294" i="8"/>
  <c r="R294" i="8" s="1"/>
  <c r="F294" i="8"/>
  <c r="M297" i="8"/>
  <c r="R297" i="8" s="1"/>
  <c r="M298" i="8"/>
  <c r="F298" i="8"/>
  <c r="Q301" i="8"/>
  <c r="M262" i="8"/>
  <c r="R262" i="8" s="1"/>
  <c r="S262" i="8" s="1"/>
  <c r="M261" i="8"/>
  <c r="R261" i="8" s="1"/>
  <c r="Q263" i="8"/>
  <c r="R263" i="8"/>
  <c r="S263" i="8" s="1"/>
  <c r="Q275" i="8"/>
  <c r="F263" i="8"/>
  <c r="V264" i="8"/>
  <c r="W264" i="8" s="1"/>
  <c r="Q266" i="8"/>
  <c r="M267" i="8"/>
  <c r="F267" i="8"/>
  <c r="M271" i="8"/>
  <c r="F271" i="8"/>
  <c r="F275" i="8"/>
  <c r="Q264" i="8"/>
  <c r="F265" i="8"/>
  <c r="M268" i="8"/>
  <c r="M269" i="8"/>
  <c r="R269" i="8" s="1"/>
  <c r="F269" i="8"/>
  <c r="M272" i="8"/>
  <c r="R272" i="8" s="1"/>
  <c r="M273" i="8"/>
  <c r="F273" i="8"/>
  <c r="F117" i="8"/>
  <c r="M158" i="8"/>
  <c r="R158" i="8" s="1"/>
  <c r="M208" i="8"/>
  <c r="Q208" i="8" s="1"/>
  <c r="M133" i="8"/>
  <c r="R133" i="8" s="1"/>
  <c r="F42" i="8"/>
  <c r="F73" i="8"/>
  <c r="M83" i="8"/>
  <c r="Q83" i="8" s="1"/>
  <c r="F86" i="8"/>
  <c r="M87" i="8"/>
  <c r="R87" i="8" s="1"/>
  <c r="S87" i="8" s="1"/>
  <c r="V87" i="8" s="1"/>
  <c r="W87" i="8" s="1"/>
  <c r="F113" i="8"/>
  <c r="M116" i="8"/>
  <c r="R116" i="8" s="1"/>
  <c r="M122" i="8"/>
  <c r="R122" i="8" s="1"/>
  <c r="S122" i="8" s="1"/>
  <c r="V122" i="8" s="1"/>
  <c r="W122" i="8" s="1"/>
  <c r="M134" i="8"/>
  <c r="R134" i="8" s="1"/>
  <c r="S134" i="8" s="1"/>
  <c r="M135" i="8"/>
  <c r="R135" i="8" s="1"/>
  <c r="S135" i="8" s="1"/>
  <c r="M137" i="8"/>
  <c r="Q137" i="8" s="1"/>
  <c r="F142" i="8"/>
  <c r="F173" i="8"/>
  <c r="M185" i="8"/>
  <c r="R185" i="8" s="1"/>
  <c r="S185" i="8" s="1"/>
  <c r="F192" i="8"/>
  <c r="F223" i="8"/>
  <c r="M235" i="8"/>
  <c r="Q235" i="8" s="1"/>
  <c r="F13" i="8"/>
  <c r="F17" i="8"/>
  <c r="M21" i="8"/>
  <c r="R21" i="8" s="1"/>
  <c r="M36" i="8"/>
  <c r="R36" i="8" s="1"/>
  <c r="S36" i="8" s="1"/>
  <c r="M38" i="8"/>
  <c r="R38" i="8" s="1"/>
  <c r="S38" i="8" s="1"/>
  <c r="V38" i="8" s="1"/>
  <c r="W38" i="8" s="1"/>
  <c r="M62" i="8"/>
  <c r="Q62" i="8" s="1"/>
  <c r="F98" i="8"/>
  <c r="M108" i="8"/>
  <c r="Q108" i="8" s="1"/>
  <c r="M110" i="8"/>
  <c r="Q110" i="8" s="1"/>
  <c r="F138" i="8"/>
  <c r="M141" i="8"/>
  <c r="R141" i="8" s="1"/>
  <c r="M147" i="8"/>
  <c r="Q147" i="8" s="1"/>
  <c r="M159" i="8"/>
  <c r="R159" i="8" s="1"/>
  <c r="S159" i="8" s="1"/>
  <c r="M162" i="8"/>
  <c r="R162" i="8" s="1"/>
  <c r="S162" i="8" s="1"/>
  <c r="V162" i="8" s="1"/>
  <c r="W162" i="8" s="1"/>
  <c r="F188" i="8"/>
  <c r="M191" i="8"/>
  <c r="R191" i="8" s="1"/>
  <c r="M197" i="8"/>
  <c r="R197" i="8" s="1"/>
  <c r="S197" i="8" s="1"/>
  <c r="V197" i="8" s="1"/>
  <c r="W197" i="8" s="1"/>
  <c r="M209" i="8"/>
  <c r="Q209" i="8" s="1"/>
  <c r="F238" i="8"/>
  <c r="M241" i="8"/>
  <c r="R241" i="8" s="1"/>
  <c r="M242" i="8"/>
  <c r="R242" i="8" s="1"/>
  <c r="S242" i="8" s="1"/>
  <c r="V242" i="8" s="1"/>
  <c r="W242" i="8" s="1"/>
  <c r="M9" i="8"/>
  <c r="R9" i="8" s="1"/>
  <c r="S9" i="8" s="1"/>
  <c r="M10" i="8"/>
  <c r="R10" i="8" s="1"/>
  <c r="S10" i="8" s="1"/>
  <c r="M11" i="8"/>
  <c r="R11" i="8" s="1"/>
  <c r="S11" i="8" s="1"/>
  <c r="M12" i="8"/>
  <c r="Q12" i="8" s="1"/>
  <c r="M47" i="8"/>
  <c r="R47" i="8" s="1"/>
  <c r="S47" i="8" s="1"/>
  <c r="V47" i="8" s="1"/>
  <c r="W47" i="8" s="1"/>
  <c r="F59" i="8"/>
  <c r="M63" i="8"/>
  <c r="R63" i="8" s="1"/>
  <c r="S63" i="8" s="1"/>
  <c r="V63" i="8" s="1"/>
  <c r="W63" i="8" s="1"/>
  <c r="M67" i="8"/>
  <c r="R67" i="8" s="1"/>
  <c r="S67" i="8" s="1"/>
  <c r="V67" i="8" s="1"/>
  <c r="W67" i="8" s="1"/>
  <c r="F84" i="8"/>
  <c r="M88" i="8"/>
  <c r="Q88" i="8" s="1"/>
  <c r="M92" i="8"/>
  <c r="Q92" i="8" s="1"/>
  <c r="M93" i="8"/>
  <c r="R93" i="8" s="1"/>
  <c r="F109" i="8"/>
  <c r="M112" i="8"/>
  <c r="R112" i="8" s="1"/>
  <c r="S112" i="8" s="1"/>
  <c r="F136" i="8"/>
  <c r="M163" i="8"/>
  <c r="Q163" i="8" s="1"/>
  <c r="M168" i="8"/>
  <c r="R168" i="8" s="1"/>
  <c r="F184" i="8"/>
  <c r="M212" i="8"/>
  <c r="R212" i="8" s="1"/>
  <c r="S212" i="8" s="1"/>
  <c r="V212" i="8" s="1"/>
  <c r="W212" i="8" s="1"/>
  <c r="M248" i="8"/>
  <c r="R248" i="8" s="1"/>
  <c r="S248" i="8" s="1"/>
  <c r="V248" i="8" s="1"/>
  <c r="W248" i="8" s="1"/>
  <c r="F248" i="8"/>
  <c r="M187" i="8"/>
  <c r="R187" i="8" s="1"/>
  <c r="S187" i="8" s="1"/>
  <c r="F211" i="8"/>
  <c r="M213" i="8"/>
  <c r="Q213" i="8" s="1"/>
  <c r="M218" i="8"/>
  <c r="R218" i="8" s="1"/>
  <c r="F234" i="8"/>
  <c r="M237" i="8"/>
  <c r="R237" i="8" s="1"/>
  <c r="S237" i="8" s="1"/>
  <c r="M46" i="8"/>
  <c r="R46" i="8" s="1"/>
  <c r="M167" i="8"/>
  <c r="Q167" i="8" s="1"/>
  <c r="F167" i="8"/>
  <c r="M217" i="8"/>
  <c r="Q217" i="8" s="1"/>
  <c r="F217" i="8"/>
  <c r="F9" i="8"/>
  <c r="M13" i="8"/>
  <c r="R13" i="8" s="1"/>
  <c r="S13" i="8" s="1"/>
  <c r="V13" i="8" s="1"/>
  <c r="W13" i="8" s="1"/>
  <c r="M17" i="8"/>
  <c r="R17" i="8" s="1"/>
  <c r="S17" i="8" s="1"/>
  <c r="V17" i="8" s="1"/>
  <c r="W17" i="8" s="1"/>
  <c r="F23" i="8"/>
  <c r="F34" i="8"/>
  <c r="F36" i="8"/>
  <c r="F38" i="8"/>
  <c r="M42" i="8"/>
  <c r="R42" i="8" s="1"/>
  <c r="S42" i="8" s="1"/>
  <c r="V42" i="8" s="1"/>
  <c r="W42" i="8" s="1"/>
  <c r="F46" i="8"/>
  <c r="M60" i="8"/>
  <c r="Q60" i="8" s="1"/>
  <c r="M61" i="8"/>
  <c r="R61" i="8" s="1"/>
  <c r="S61" i="8" s="1"/>
  <c r="F63" i="8"/>
  <c r="F67" i="8"/>
  <c r="M71" i="8"/>
  <c r="R71" i="8" s="1"/>
  <c r="M86" i="8"/>
  <c r="R86" i="8" s="1"/>
  <c r="S86" i="8" s="1"/>
  <c r="V86" i="8" s="1"/>
  <c r="W86" i="8" s="1"/>
  <c r="F88" i="8"/>
  <c r="M91" i="8"/>
  <c r="R91" i="8" s="1"/>
  <c r="F92" i="8"/>
  <c r="M97" i="8"/>
  <c r="R97" i="8" s="1"/>
  <c r="S97" i="8" s="1"/>
  <c r="V97" i="8" s="1"/>
  <c r="W97" i="8" s="1"/>
  <c r="F111" i="8"/>
  <c r="M113" i="8"/>
  <c r="Q113" i="8" s="1"/>
  <c r="M117" i="8"/>
  <c r="R117" i="8" s="1"/>
  <c r="S117" i="8" s="1"/>
  <c r="V117" i="8" s="1"/>
  <c r="W117" i="8" s="1"/>
  <c r="M118" i="8"/>
  <c r="R118" i="8" s="1"/>
  <c r="F123" i="8"/>
  <c r="F134" i="8"/>
  <c r="M148" i="8"/>
  <c r="Q148" i="8" s="1"/>
  <c r="F148" i="8"/>
  <c r="M160" i="8"/>
  <c r="R160" i="8" s="1"/>
  <c r="S160" i="8" s="1"/>
  <c r="M183" i="8"/>
  <c r="Q183" i="8" s="1"/>
  <c r="M198" i="8"/>
  <c r="Q198" i="8" s="1"/>
  <c r="F198" i="8"/>
  <c r="M210" i="8"/>
  <c r="R210" i="8" s="1"/>
  <c r="S210" i="8" s="1"/>
  <c r="V210" i="8" s="1"/>
  <c r="W210" i="8" s="1"/>
  <c r="M233" i="8"/>
  <c r="Q233" i="8" s="1"/>
  <c r="M138" i="8"/>
  <c r="Q138" i="8" s="1"/>
  <c r="M142" i="8"/>
  <c r="Q142" i="8" s="1"/>
  <c r="M143" i="8"/>
  <c r="R143" i="8" s="1"/>
  <c r="M166" i="8"/>
  <c r="R166" i="8" s="1"/>
  <c r="M172" i="8"/>
  <c r="R172" i="8" s="1"/>
  <c r="S172" i="8" s="1"/>
  <c r="V172" i="8" s="1"/>
  <c r="W172" i="8" s="1"/>
  <c r="M184" i="8"/>
  <c r="R184" i="8" s="1"/>
  <c r="S184" i="8" s="1"/>
  <c r="F186" i="8"/>
  <c r="M188" i="8"/>
  <c r="R188" i="8" s="1"/>
  <c r="S188" i="8" s="1"/>
  <c r="V188" i="8" s="1"/>
  <c r="W188" i="8" s="1"/>
  <c r="M192" i="8"/>
  <c r="R192" i="8" s="1"/>
  <c r="S192" i="8" s="1"/>
  <c r="V192" i="8" s="1"/>
  <c r="W192" i="8" s="1"/>
  <c r="M193" i="8"/>
  <c r="R193" i="8" s="1"/>
  <c r="F209" i="8"/>
  <c r="F213" i="8"/>
  <c r="M216" i="8"/>
  <c r="R216" i="8" s="1"/>
  <c r="M222" i="8"/>
  <c r="Q222" i="8" s="1"/>
  <c r="M234" i="8"/>
  <c r="R234" i="8" s="1"/>
  <c r="S234" i="8" s="1"/>
  <c r="F236" i="8"/>
  <c r="M238" i="8"/>
  <c r="R238" i="8" s="1"/>
  <c r="S238" i="8" s="1"/>
  <c r="V238" i="8" s="1"/>
  <c r="W238" i="8" s="1"/>
  <c r="F242" i="8"/>
  <c r="M246" i="8"/>
  <c r="R246" i="8" s="1"/>
  <c r="M8" i="8"/>
  <c r="Q8" i="8" s="1"/>
  <c r="F11" i="8"/>
  <c r="V19" i="8"/>
  <c r="W19" i="8" s="1"/>
  <c r="F21" i="8"/>
  <c r="M22" i="8"/>
  <c r="R22" i="8" s="1"/>
  <c r="S22" i="8" s="1"/>
  <c r="V22" i="8" s="1"/>
  <c r="W22" i="8" s="1"/>
  <c r="M35" i="8"/>
  <c r="Q35" i="8" s="1"/>
  <c r="M37" i="8"/>
  <c r="Q37" i="8" s="1"/>
  <c r="P43" i="8"/>
  <c r="V46" i="8"/>
  <c r="W46" i="8" s="1"/>
  <c r="F48" i="8"/>
  <c r="F61" i="8"/>
  <c r="V69" i="8"/>
  <c r="W69" i="8" s="1"/>
  <c r="F71" i="8"/>
  <c r="M72" i="8"/>
  <c r="Q72" i="8" s="1"/>
  <c r="M85" i="8"/>
  <c r="R85" i="8" s="1"/>
  <c r="S85" i="8" s="1"/>
  <c r="M95" i="8"/>
  <c r="R95" i="8" s="1"/>
  <c r="V96" i="8"/>
  <c r="W96" i="8" s="1"/>
  <c r="F108" i="8"/>
  <c r="F110" i="8"/>
  <c r="F112" i="8"/>
  <c r="M120" i="8"/>
  <c r="R120" i="8" s="1"/>
  <c r="V121" i="8"/>
  <c r="W121" i="8" s="1"/>
  <c r="F133" i="8"/>
  <c r="F135" i="8"/>
  <c r="F137" i="8"/>
  <c r="F147" i="8"/>
  <c r="P18" i="8"/>
  <c r="V21" i="8"/>
  <c r="W21" i="8" s="1"/>
  <c r="V44" i="8"/>
  <c r="W44" i="8" s="1"/>
  <c r="P68" i="8"/>
  <c r="V71" i="8"/>
  <c r="W71" i="8" s="1"/>
  <c r="V94" i="8"/>
  <c r="W94" i="8" s="1"/>
  <c r="F97" i="8"/>
  <c r="V119" i="8"/>
  <c r="W119" i="8" s="1"/>
  <c r="F122" i="8"/>
  <c r="V144" i="8"/>
  <c r="W144" i="8" s="1"/>
  <c r="F159" i="8"/>
  <c r="F161" i="8"/>
  <c r="F163" i="8"/>
  <c r="M145" i="8"/>
  <c r="R145" i="8" s="1"/>
  <c r="V146" i="8"/>
  <c r="W146" i="8" s="1"/>
  <c r="F158" i="8"/>
  <c r="F160" i="8"/>
  <c r="F162" i="8"/>
  <c r="M170" i="8"/>
  <c r="R170" i="8" s="1"/>
  <c r="V171" i="8"/>
  <c r="W171" i="8" s="1"/>
  <c r="F183" i="8"/>
  <c r="F185" i="8"/>
  <c r="F187" i="8"/>
  <c r="V196" i="8"/>
  <c r="W196" i="8" s="1"/>
  <c r="F208" i="8"/>
  <c r="F210" i="8"/>
  <c r="F212" i="8"/>
  <c r="V221" i="8"/>
  <c r="W221" i="8" s="1"/>
  <c r="F233" i="8"/>
  <c r="F235" i="8"/>
  <c r="F237" i="8"/>
  <c r="V244" i="8"/>
  <c r="W244" i="8" s="1"/>
  <c r="F246" i="8"/>
  <c r="M247" i="8"/>
  <c r="Q247" i="8" s="1"/>
  <c r="V169" i="8"/>
  <c r="W169" i="8" s="1"/>
  <c r="F172" i="8"/>
  <c r="V194" i="8"/>
  <c r="W194" i="8" s="1"/>
  <c r="F197" i="8"/>
  <c r="V219" i="8"/>
  <c r="W219" i="8" s="1"/>
  <c r="F222" i="8"/>
  <c r="P243" i="8"/>
  <c r="V246" i="8"/>
  <c r="W246" i="8" s="1"/>
  <c r="Q34" i="8"/>
  <c r="F35" i="8"/>
  <c r="V36" i="8"/>
  <c r="W36" i="8" s="1"/>
  <c r="M39" i="8"/>
  <c r="F39" i="8"/>
  <c r="M43" i="8"/>
  <c r="F43" i="8"/>
  <c r="F47" i="8"/>
  <c r="V48" i="8"/>
  <c r="W48" i="8" s="1"/>
  <c r="F85" i="8"/>
  <c r="Q109" i="8"/>
  <c r="R111" i="8"/>
  <c r="S111" i="8" s="1"/>
  <c r="Q111" i="8"/>
  <c r="R136" i="8"/>
  <c r="S136" i="8" s="1"/>
  <c r="V136" i="8" s="1"/>
  <c r="W136" i="8" s="1"/>
  <c r="Q136" i="8"/>
  <c r="R161" i="8"/>
  <c r="S161" i="8" s="1"/>
  <c r="V161" i="8" s="1"/>
  <c r="W161" i="8" s="1"/>
  <c r="Q161" i="8"/>
  <c r="Q186" i="8"/>
  <c r="R211" i="8"/>
  <c r="S211" i="8" s="1"/>
  <c r="V211" i="8" s="1"/>
  <c r="W211" i="8" s="1"/>
  <c r="Q211" i="8"/>
  <c r="R213" i="8"/>
  <c r="S213" i="8" s="1"/>
  <c r="V213" i="8" s="1"/>
  <c r="W213" i="8" s="1"/>
  <c r="R236" i="8"/>
  <c r="S236" i="8" s="1"/>
  <c r="Q236" i="8"/>
  <c r="F10" i="8"/>
  <c r="M14" i="8"/>
  <c r="F14" i="8"/>
  <c r="M18" i="8"/>
  <c r="F18" i="8"/>
  <c r="F22" i="8"/>
  <c r="V23" i="8"/>
  <c r="W23" i="8" s="1"/>
  <c r="Q59" i="8"/>
  <c r="F60" i="8"/>
  <c r="M64" i="8"/>
  <c r="F64" i="8"/>
  <c r="M68" i="8"/>
  <c r="F68" i="8"/>
  <c r="F72" i="8"/>
  <c r="V73" i="8"/>
  <c r="W73" i="8" s="1"/>
  <c r="F8" i="8"/>
  <c r="F12" i="8"/>
  <c r="M15" i="8"/>
  <c r="M16" i="8"/>
  <c r="R16" i="8" s="1"/>
  <c r="F16" i="8"/>
  <c r="M19" i="8"/>
  <c r="R19" i="8" s="1"/>
  <c r="M20" i="8"/>
  <c r="F20" i="8"/>
  <c r="Q23" i="8"/>
  <c r="F33" i="8"/>
  <c r="F37" i="8"/>
  <c r="M40" i="8"/>
  <c r="M41" i="8"/>
  <c r="R41" i="8" s="1"/>
  <c r="F41" i="8"/>
  <c r="M44" i="8"/>
  <c r="R44" i="8" s="1"/>
  <c r="M45" i="8"/>
  <c r="F45" i="8"/>
  <c r="Q48" i="8"/>
  <c r="F58" i="8"/>
  <c r="F62" i="8"/>
  <c r="M65" i="8"/>
  <c r="M66" i="8"/>
  <c r="R66" i="8" s="1"/>
  <c r="F66" i="8"/>
  <c r="M69" i="8"/>
  <c r="R69" i="8" s="1"/>
  <c r="M70" i="8"/>
  <c r="F70" i="8"/>
  <c r="Q73" i="8"/>
  <c r="F83" i="8"/>
  <c r="F87" i="8"/>
  <c r="M89" i="8"/>
  <c r="R98" i="8"/>
  <c r="S98" i="8" s="1"/>
  <c r="V98" i="8" s="1"/>
  <c r="W98" i="8" s="1"/>
  <c r="Q98" i="8"/>
  <c r="M114" i="8"/>
  <c r="R123" i="8"/>
  <c r="S123" i="8" s="1"/>
  <c r="V123" i="8" s="1"/>
  <c r="W123" i="8" s="1"/>
  <c r="Q123" i="8"/>
  <c r="M139" i="8"/>
  <c r="M164" i="8"/>
  <c r="R173" i="8"/>
  <c r="S173" i="8" s="1"/>
  <c r="V173" i="8" s="1"/>
  <c r="W173" i="8" s="1"/>
  <c r="Q173" i="8"/>
  <c r="M189" i="8"/>
  <c r="M195" i="8"/>
  <c r="R208" i="8"/>
  <c r="M214" i="8"/>
  <c r="M220" i="8"/>
  <c r="R223" i="8"/>
  <c r="S223" i="8" s="1"/>
  <c r="V223" i="8" s="1"/>
  <c r="W223" i="8" s="1"/>
  <c r="Q223" i="8"/>
  <c r="M239" i="8"/>
  <c r="M115" i="8"/>
  <c r="M119" i="8"/>
  <c r="R119" i="8" s="1"/>
  <c r="M121" i="8"/>
  <c r="R121" i="8" s="1"/>
  <c r="M165" i="8"/>
  <c r="M169" i="8"/>
  <c r="R169" i="8" s="1"/>
  <c r="M171" i="8"/>
  <c r="R171" i="8" s="1"/>
  <c r="M215" i="8"/>
  <c r="M219" i="8"/>
  <c r="R219" i="8" s="1"/>
  <c r="M221" i="8"/>
  <c r="R221" i="8" s="1"/>
  <c r="M90" i="8"/>
  <c r="M94" i="8"/>
  <c r="R94" i="8" s="1"/>
  <c r="M96" i="8"/>
  <c r="R96" i="8" s="1"/>
  <c r="M140" i="8"/>
  <c r="M144" i="8"/>
  <c r="R144" i="8" s="1"/>
  <c r="M146" i="8"/>
  <c r="R146" i="8" s="1"/>
  <c r="M190" i="8"/>
  <c r="M194" i="8"/>
  <c r="R194" i="8" s="1"/>
  <c r="M196" i="8"/>
  <c r="R196" i="8" s="1"/>
  <c r="M240" i="8"/>
  <c r="M243" i="8"/>
  <c r="F243" i="8"/>
  <c r="F247" i="8"/>
  <c r="F89" i="8"/>
  <c r="F91" i="8"/>
  <c r="F93" i="8"/>
  <c r="F95" i="8"/>
  <c r="F114" i="8"/>
  <c r="F116" i="8"/>
  <c r="F118" i="8"/>
  <c r="F120" i="8"/>
  <c r="F139" i="8"/>
  <c r="F141" i="8"/>
  <c r="F143" i="8"/>
  <c r="F145" i="8"/>
  <c r="F164" i="8"/>
  <c r="F166" i="8"/>
  <c r="F168" i="8"/>
  <c r="F170" i="8"/>
  <c r="F189" i="8"/>
  <c r="F191" i="8"/>
  <c r="F193" i="8"/>
  <c r="F195" i="8"/>
  <c r="F214" i="8"/>
  <c r="F216" i="8"/>
  <c r="F218" i="8"/>
  <c r="F220" i="8"/>
  <c r="F239" i="8"/>
  <c r="F241" i="8"/>
  <c r="M244" i="8"/>
  <c r="R244" i="8" s="1"/>
  <c r="M245" i="8"/>
  <c r="F245" i="8"/>
  <c r="V289" i="8" l="1"/>
  <c r="W289" i="8" s="1"/>
  <c r="N375" i="8"/>
  <c r="R375" i="8" s="1"/>
  <c r="S375" i="8" s="1"/>
  <c r="V375" i="8" s="1"/>
  <c r="W375" i="8" s="1"/>
  <c r="R370" i="8"/>
  <c r="S370" i="8" s="1"/>
  <c r="V370" i="8" s="1"/>
  <c r="W370" i="8" s="1"/>
  <c r="Q375" i="8"/>
  <c r="Q370" i="8"/>
  <c r="R365" i="8"/>
  <c r="S365" i="8" s="1"/>
  <c r="V365" i="8" s="1"/>
  <c r="W365" i="8" s="1"/>
  <c r="Q366" i="8"/>
  <c r="R137" i="8"/>
  <c r="S137" i="8" s="1"/>
  <c r="V137" i="8" s="1"/>
  <c r="W137" i="8" s="1"/>
  <c r="R58" i="8"/>
  <c r="S58" i="8" s="1"/>
  <c r="V58" i="8" s="1"/>
  <c r="R290" i="8"/>
  <c r="S290" i="8" s="1"/>
  <c r="V290" i="8" s="1"/>
  <c r="W290" i="8" s="1"/>
  <c r="Q312" i="8"/>
  <c r="V312" i="8" s="1"/>
  <c r="W312" i="8" s="1"/>
  <c r="R372" i="8"/>
  <c r="S371" i="8" s="1"/>
  <c r="R369" i="8"/>
  <c r="R374" i="8"/>
  <c r="S373" i="8" s="1"/>
  <c r="V373" i="8" s="1"/>
  <c r="W373" i="8" s="1"/>
  <c r="Q320" i="8"/>
  <c r="R315" i="8"/>
  <c r="S315" i="8" s="1"/>
  <c r="V315" i="8" s="1"/>
  <c r="W315" i="8" s="1"/>
  <c r="R325" i="8"/>
  <c r="S325" i="8" s="1"/>
  <c r="V325" i="8" s="1"/>
  <c r="W325" i="8" s="1"/>
  <c r="Q326" i="8"/>
  <c r="V363" i="8"/>
  <c r="W363" i="8" s="1"/>
  <c r="S361" i="8"/>
  <c r="V361" i="8" s="1"/>
  <c r="Q212" i="8"/>
  <c r="R37" i="8"/>
  <c r="S37" i="8" s="1"/>
  <c r="V37" i="8" s="1"/>
  <c r="W37" i="8" s="1"/>
  <c r="V186" i="8"/>
  <c r="W186" i="8" s="1"/>
  <c r="Q84" i="8"/>
  <c r="V84" i="8" s="1"/>
  <c r="W84" i="8" s="1"/>
  <c r="Q276" i="8"/>
  <c r="R265" i="8"/>
  <c r="S265" i="8" s="1"/>
  <c r="V265" i="8" s="1"/>
  <c r="W265" i="8" s="1"/>
  <c r="Q270" i="8"/>
  <c r="Q295" i="8"/>
  <c r="V314" i="8"/>
  <c r="W314" i="8" s="1"/>
  <c r="Q316" i="8"/>
  <c r="Q339" i="8"/>
  <c r="Q345" i="8"/>
  <c r="Q367" i="8"/>
  <c r="R367" i="8"/>
  <c r="S367" i="8" s="1"/>
  <c r="Q373" i="8"/>
  <c r="V362" i="8"/>
  <c r="W362" i="8" s="1"/>
  <c r="Q261" i="8"/>
  <c r="Q350" i="8"/>
  <c r="V337" i="8"/>
  <c r="W337" i="8" s="1"/>
  <c r="Q262" i="8"/>
  <c r="V262" i="8" s="1"/>
  <c r="W262" i="8" s="1"/>
  <c r="R33" i="8"/>
  <c r="Q346" i="8"/>
  <c r="R346" i="8"/>
  <c r="S346" i="8" s="1"/>
  <c r="V338" i="8"/>
  <c r="W338" i="8" s="1"/>
  <c r="Q348" i="8"/>
  <c r="R348" i="8"/>
  <c r="S348" i="8" s="1"/>
  <c r="V348" i="8" s="1"/>
  <c r="W348" i="8" s="1"/>
  <c r="R343" i="8"/>
  <c r="S343" i="8" s="1"/>
  <c r="Q343" i="8"/>
  <c r="Q342" i="8"/>
  <c r="R342" i="8"/>
  <c r="S342" i="8" s="1"/>
  <c r="S336" i="8"/>
  <c r="V336" i="8" s="1"/>
  <c r="Q323" i="8"/>
  <c r="R323" i="8"/>
  <c r="S323" i="8" s="1"/>
  <c r="V323" i="8" s="1"/>
  <c r="W323" i="8" s="1"/>
  <c r="R318" i="8"/>
  <c r="S318" i="8" s="1"/>
  <c r="Q318" i="8"/>
  <c r="Q317" i="8"/>
  <c r="R317" i="8"/>
  <c r="S317" i="8" s="1"/>
  <c r="V317" i="8" s="1"/>
  <c r="W317" i="8" s="1"/>
  <c r="S311" i="8"/>
  <c r="V311" i="8" s="1"/>
  <c r="Q321" i="8"/>
  <c r="R321" i="8"/>
  <c r="S321" i="8" s="1"/>
  <c r="Q298" i="8"/>
  <c r="R298" i="8"/>
  <c r="S298" i="8" s="1"/>
  <c r="V298" i="8" s="1"/>
  <c r="W298" i="8" s="1"/>
  <c r="R293" i="8"/>
  <c r="S293" i="8" s="1"/>
  <c r="V293" i="8" s="1"/>
  <c r="W293" i="8" s="1"/>
  <c r="Q293" i="8"/>
  <c r="Q292" i="8"/>
  <c r="R292" i="8"/>
  <c r="S292" i="8" s="1"/>
  <c r="V292" i="8" s="1"/>
  <c r="W292" i="8" s="1"/>
  <c r="S286" i="8"/>
  <c r="V286" i="8" s="1"/>
  <c r="Q296" i="8"/>
  <c r="R296" i="8"/>
  <c r="S296" i="8" s="1"/>
  <c r="V296" i="8" s="1"/>
  <c r="W296" i="8" s="1"/>
  <c r="V263" i="8"/>
  <c r="W263" i="8" s="1"/>
  <c r="Q273" i="8"/>
  <c r="R273" i="8"/>
  <c r="S273" i="8" s="1"/>
  <c r="V273" i="8" s="1"/>
  <c r="W273" i="8" s="1"/>
  <c r="R268" i="8"/>
  <c r="S268" i="8" s="1"/>
  <c r="V268" i="8" s="1"/>
  <c r="W268" i="8" s="1"/>
  <c r="Q268" i="8"/>
  <c r="Q267" i="8"/>
  <c r="R267" i="8"/>
  <c r="S267" i="8" s="1"/>
  <c r="V267" i="8" s="1"/>
  <c r="W267" i="8" s="1"/>
  <c r="Q271" i="8"/>
  <c r="R271" i="8"/>
  <c r="S271" i="8" s="1"/>
  <c r="V271" i="8" s="1"/>
  <c r="W271" i="8" s="1"/>
  <c r="S261" i="8"/>
  <c r="V261" i="8" s="1"/>
  <c r="Q192" i="8"/>
  <c r="Q234" i="8"/>
  <c r="Q158" i="8"/>
  <c r="R247" i="8"/>
  <c r="S247" i="8" s="1"/>
  <c r="V247" i="8" s="1"/>
  <c r="W247" i="8" s="1"/>
  <c r="R235" i="8"/>
  <c r="S235" i="8" s="1"/>
  <c r="V235" i="8" s="1"/>
  <c r="W235" i="8" s="1"/>
  <c r="R198" i="8"/>
  <c r="S198" i="8" s="1"/>
  <c r="V198" i="8" s="1"/>
  <c r="W198" i="8" s="1"/>
  <c r="R62" i="8"/>
  <c r="S62" i="8" s="1"/>
  <c r="V62" i="8" s="1"/>
  <c r="W62" i="8" s="1"/>
  <c r="Q36" i="8"/>
  <c r="Q134" i="8"/>
  <c r="R60" i="8"/>
  <c r="S60" i="8" s="1"/>
  <c r="V60" i="8" s="1"/>
  <c r="W60" i="8" s="1"/>
  <c r="Q162" i="8"/>
  <c r="Q133" i="8"/>
  <c r="R108" i="8"/>
  <c r="S108" i="8" s="1"/>
  <c r="V108" i="8" s="1"/>
  <c r="R83" i="8"/>
  <c r="R147" i="8"/>
  <c r="S147" i="8" s="1"/>
  <c r="V147" i="8" s="1"/>
  <c r="W147" i="8" s="1"/>
  <c r="Q87" i="8"/>
  <c r="Q187" i="8"/>
  <c r="V187" i="8" s="1"/>
  <c r="W187" i="8" s="1"/>
  <c r="R142" i="8"/>
  <c r="S142" i="8" s="1"/>
  <c r="V142" i="8" s="1"/>
  <c r="W142" i="8" s="1"/>
  <c r="R92" i="8"/>
  <c r="S92" i="8" s="1"/>
  <c r="V92" i="8" s="1"/>
  <c r="W92" i="8" s="1"/>
  <c r="Q197" i="8"/>
  <c r="Q237" i="8"/>
  <c r="V237" i="8" s="1"/>
  <c r="W237" i="8" s="1"/>
  <c r="Q160" i="8"/>
  <c r="V160" i="8" s="1"/>
  <c r="W160" i="8" s="1"/>
  <c r="Q117" i="8"/>
  <c r="Q112" i="8"/>
  <c r="R209" i="8"/>
  <c r="S209" i="8" s="1"/>
  <c r="V209" i="8" s="1"/>
  <c r="W209" i="8" s="1"/>
  <c r="R163" i="8"/>
  <c r="S163" i="8" s="1"/>
  <c r="V163" i="8" s="1"/>
  <c r="W163" i="8" s="1"/>
  <c r="R138" i="8"/>
  <c r="S138" i="8" s="1"/>
  <c r="V138" i="8" s="1"/>
  <c r="W138" i="8" s="1"/>
  <c r="Q122" i="8"/>
  <c r="R88" i="8"/>
  <c r="S88" i="8" s="1"/>
  <c r="V88" i="8" s="1"/>
  <c r="W88" i="8" s="1"/>
  <c r="Q10" i="8"/>
  <c r="V10" i="8" s="1"/>
  <c r="W10" i="8" s="1"/>
  <c r="Q210" i="8"/>
  <c r="Q185" i="8"/>
  <c r="V185" i="8" s="1"/>
  <c r="W185" i="8" s="1"/>
  <c r="R148" i="8"/>
  <c r="S148" i="8" s="1"/>
  <c r="V148" i="8" s="1"/>
  <c r="W148" i="8" s="1"/>
  <c r="Q135" i="8"/>
  <c r="V135" i="8" s="1"/>
  <c r="W135" i="8" s="1"/>
  <c r="Q238" i="8"/>
  <c r="Q172" i="8"/>
  <c r="Q159" i="8"/>
  <c r="Q22" i="8"/>
  <c r="Q47" i="8"/>
  <c r="R110" i="8"/>
  <c r="S110" i="8" s="1"/>
  <c r="V110" i="8" s="1"/>
  <c r="W110" i="8" s="1"/>
  <c r="Q17" i="8"/>
  <c r="Q184" i="8"/>
  <c r="V184" i="8" s="1"/>
  <c r="W184" i="8" s="1"/>
  <c r="R113" i="8"/>
  <c r="S113" i="8" s="1"/>
  <c r="V113" i="8" s="1"/>
  <c r="W113" i="8" s="1"/>
  <c r="R35" i="8"/>
  <c r="S35" i="8" s="1"/>
  <c r="V35" i="8" s="1"/>
  <c r="W35" i="8" s="1"/>
  <c r="Q248" i="8"/>
  <c r="R12" i="8"/>
  <c r="S12" i="8" s="1"/>
  <c r="V12" i="8" s="1"/>
  <c r="W12" i="8" s="1"/>
  <c r="Q67" i="8"/>
  <c r="V59" i="8"/>
  <c r="W59" i="8" s="1"/>
  <c r="Q13" i="8"/>
  <c r="V111" i="8"/>
  <c r="W111" i="8" s="1"/>
  <c r="V109" i="8"/>
  <c r="W109" i="8" s="1"/>
  <c r="Q42" i="8"/>
  <c r="R72" i="8"/>
  <c r="S72" i="8" s="1"/>
  <c r="V72" i="8" s="1"/>
  <c r="W72" i="8" s="1"/>
  <c r="Q242" i="8"/>
  <c r="R233" i="8"/>
  <c r="S233" i="8" s="1"/>
  <c r="V233" i="8" s="1"/>
  <c r="R217" i="8"/>
  <c r="S217" i="8" s="1"/>
  <c r="V217" i="8" s="1"/>
  <c r="W217" i="8" s="1"/>
  <c r="R183" i="8"/>
  <c r="S183" i="8" s="1"/>
  <c r="V183" i="8" s="1"/>
  <c r="R167" i="8"/>
  <c r="S167" i="8" s="1"/>
  <c r="V167" i="8" s="1"/>
  <c r="W167" i="8" s="1"/>
  <c r="Q11" i="8"/>
  <c r="V11" i="8" s="1"/>
  <c r="W11" i="8" s="1"/>
  <c r="R8" i="8"/>
  <c r="S8" i="8" s="1"/>
  <c r="V8" i="8" s="1"/>
  <c r="Q63" i="8"/>
  <c r="Q9" i="8"/>
  <c r="V9" i="8" s="1"/>
  <c r="W9" i="8" s="1"/>
  <c r="R222" i="8"/>
  <c r="S222" i="8" s="1"/>
  <c r="V222" i="8" s="1"/>
  <c r="W222" i="8" s="1"/>
  <c r="Q188" i="8"/>
  <c r="Q97" i="8"/>
  <c r="Q38" i="8"/>
  <c r="Q85" i="8"/>
  <c r="V85" i="8" s="1"/>
  <c r="W85" i="8" s="1"/>
  <c r="V159" i="8"/>
  <c r="W159" i="8" s="1"/>
  <c r="Q86" i="8"/>
  <c r="Q61" i="8"/>
  <c r="V61" i="8" s="1"/>
  <c r="W61" i="8" s="1"/>
  <c r="V34" i="8"/>
  <c r="W34" i="8" s="1"/>
  <c r="V236" i="8"/>
  <c r="W236" i="8" s="1"/>
  <c r="V234" i="8"/>
  <c r="W234" i="8" s="1"/>
  <c r="V134" i="8"/>
  <c r="W134" i="8" s="1"/>
  <c r="Q245" i="8"/>
  <c r="R245" i="8"/>
  <c r="S245" i="8" s="1"/>
  <c r="V245" i="8" s="1"/>
  <c r="W245" i="8" s="1"/>
  <c r="Q243" i="8"/>
  <c r="R243" i="8"/>
  <c r="S243" i="8" s="1"/>
  <c r="V243" i="8" s="1"/>
  <c r="W243" i="8" s="1"/>
  <c r="R240" i="8"/>
  <c r="S240" i="8" s="1"/>
  <c r="V240" i="8" s="1"/>
  <c r="W240" i="8" s="1"/>
  <c r="Q240" i="8"/>
  <c r="R140" i="8"/>
  <c r="S140" i="8" s="1"/>
  <c r="V140" i="8" s="1"/>
  <c r="W140" i="8" s="1"/>
  <c r="Q140" i="8"/>
  <c r="R215" i="8"/>
  <c r="S215" i="8" s="1"/>
  <c r="V215" i="8" s="1"/>
  <c r="W215" i="8" s="1"/>
  <c r="Q215" i="8"/>
  <c r="R115" i="8"/>
  <c r="S115" i="8" s="1"/>
  <c r="V115" i="8" s="1"/>
  <c r="W115" i="8" s="1"/>
  <c r="Q115" i="8"/>
  <c r="Q220" i="8"/>
  <c r="R220" i="8"/>
  <c r="S220" i="8" s="1"/>
  <c r="V220" i="8" s="1"/>
  <c r="W220" i="8" s="1"/>
  <c r="S208" i="8"/>
  <c r="V208" i="8" s="1"/>
  <c r="Q195" i="8"/>
  <c r="R195" i="8"/>
  <c r="S195" i="8" s="1"/>
  <c r="V195" i="8" s="1"/>
  <c r="W195" i="8" s="1"/>
  <c r="S170" i="8"/>
  <c r="V170" i="8" s="1"/>
  <c r="W170" i="8" s="1"/>
  <c r="Q164" i="8"/>
  <c r="R164" i="8"/>
  <c r="S164" i="8" s="1"/>
  <c r="V164" i="8" s="1"/>
  <c r="W164" i="8" s="1"/>
  <c r="Q145" i="8"/>
  <c r="S133" i="8"/>
  <c r="S120" i="8"/>
  <c r="V120" i="8" s="1"/>
  <c r="W120" i="8" s="1"/>
  <c r="Q114" i="8"/>
  <c r="R114" i="8"/>
  <c r="S114" i="8" s="1"/>
  <c r="V114" i="8" s="1"/>
  <c r="W114" i="8" s="1"/>
  <c r="Q95" i="8"/>
  <c r="Q70" i="8"/>
  <c r="R70" i="8"/>
  <c r="S70" i="8" s="1"/>
  <c r="V70" i="8" s="1"/>
  <c r="W70" i="8" s="1"/>
  <c r="R65" i="8"/>
  <c r="S65" i="8" s="1"/>
  <c r="V65" i="8" s="1"/>
  <c r="W65" i="8" s="1"/>
  <c r="Q65" i="8"/>
  <c r="Q45" i="8"/>
  <c r="R45" i="8"/>
  <c r="S45" i="8" s="1"/>
  <c r="V45" i="8" s="1"/>
  <c r="W45" i="8" s="1"/>
  <c r="R40" i="8"/>
  <c r="S40" i="8" s="1"/>
  <c r="V40" i="8" s="1"/>
  <c r="W40" i="8" s="1"/>
  <c r="Q40" i="8"/>
  <c r="Q20" i="8"/>
  <c r="R20" i="8"/>
  <c r="S20" i="8" s="1"/>
  <c r="V20" i="8" s="1"/>
  <c r="W20" i="8" s="1"/>
  <c r="R15" i="8"/>
  <c r="S15" i="8" s="1"/>
  <c r="V15" i="8" s="1"/>
  <c r="W15" i="8" s="1"/>
  <c r="Q15" i="8"/>
  <c r="Q64" i="8"/>
  <c r="R64" i="8"/>
  <c r="S64" i="8" s="1"/>
  <c r="V64" i="8" s="1"/>
  <c r="W64" i="8" s="1"/>
  <c r="Q14" i="8"/>
  <c r="R14" i="8"/>
  <c r="S14" i="8" s="1"/>
  <c r="V14" i="8" s="1"/>
  <c r="W14" i="8" s="1"/>
  <c r="Q218" i="8"/>
  <c r="Q193" i="8"/>
  <c r="Q168" i="8"/>
  <c r="Q143" i="8"/>
  <c r="Q118" i="8"/>
  <c r="Q93" i="8"/>
  <c r="Q43" i="8"/>
  <c r="R43" i="8"/>
  <c r="S43" i="8" s="1"/>
  <c r="V43" i="8" s="1"/>
  <c r="W43" i="8" s="1"/>
  <c r="R190" i="8"/>
  <c r="S190" i="8" s="1"/>
  <c r="V190" i="8" s="1"/>
  <c r="W190" i="8" s="1"/>
  <c r="Q190" i="8"/>
  <c r="R90" i="8"/>
  <c r="S90" i="8" s="1"/>
  <c r="V90" i="8" s="1"/>
  <c r="W90" i="8" s="1"/>
  <c r="Q90" i="8"/>
  <c r="R165" i="8"/>
  <c r="S165" i="8" s="1"/>
  <c r="V165" i="8" s="1"/>
  <c r="W165" i="8" s="1"/>
  <c r="Q165" i="8"/>
  <c r="Q239" i="8"/>
  <c r="R239" i="8"/>
  <c r="S239" i="8" s="1"/>
  <c r="V239" i="8" s="1"/>
  <c r="W239" i="8" s="1"/>
  <c r="Q214" i="8"/>
  <c r="R214" i="8"/>
  <c r="S214" i="8" s="1"/>
  <c r="V214" i="8" s="1"/>
  <c r="W214" i="8" s="1"/>
  <c r="Q189" i="8"/>
  <c r="R189" i="8"/>
  <c r="S189" i="8" s="1"/>
  <c r="V189" i="8" s="1"/>
  <c r="W189" i="8" s="1"/>
  <c r="Q170" i="8"/>
  <c r="S158" i="8"/>
  <c r="V158" i="8" s="1"/>
  <c r="S145" i="8"/>
  <c r="V145" i="8" s="1"/>
  <c r="W145" i="8" s="1"/>
  <c r="Q139" i="8"/>
  <c r="R139" i="8"/>
  <c r="S139" i="8" s="1"/>
  <c r="V139" i="8" s="1"/>
  <c r="W139" i="8" s="1"/>
  <c r="Q120" i="8"/>
  <c r="V112" i="8"/>
  <c r="W112" i="8" s="1"/>
  <c r="S95" i="8"/>
  <c r="V95" i="8" s="1"/>
  <c r="W95" i="8" s="1"/>
  <c r="Q89" i="8"/>
  <c r="R89" i="8"/>
  <c r="S89" i="8" s="1"/>
  <c r="V89" i="8" s="1"/>
  <c r="W89" i="8" s="1"/>
  <c r="S83" i="8"/>
  <c r="V83" i="8" s="1"/>
  <c r="S33" i="8"/>
  <c r="V33" i="8" s="1"/>
  <c r="Q68" i="8"/>
  <c r="R68" i="8"/>
  <c r="S68" i="8" s="1"/>
  <c r="V68" i="8" s="1"/>
  <c r="W68" i="8" s="1"/>
  <c r="Q18" i="8"/>
  <c r="R18" i="8"/>
  <c r="S18" i="8" s="1"/>
  <c r="V18" i="8" s="1"/>
  <c r="W18" i="8" s="1"/>
  <c r="S218" i="8"/>
  <c r="V218" i="8" s="1"/>
  <c r="W218" i="8" s="1"/>
  <c r="S193" i="8"/>
  <c r="V193" i="8" s="1"/>
  <c r="W193" i="8" s="1"/>
  <c r="S168" i="8"/>
  <c r="V168" i="8" s="1"/>
  <c r="W168" i="8" s="1"/>
  <c r="S143" i="8"/>
  <c r="V143" i="8" s="1"/>
  <c r="W143" i="8" s="1"/>
  <c r="S118" i="8"/>
  <c r="V118" i="8" s="1"/>
  <c r="W118" i="8" s="1"/>
  <c r="S93" i="8"/>
  <c r="V93" i="8" s="1"/>
  <c r="W93" i="8" s="1"/>
  <c r="Q39" i="8"/>
  <c r="R39" i="8"/>
  <c r="S39" i="8" s="1"/>
  <c r="V39" i="8" s="1"/>
  <c r="W39" i="8" s="1"/>
  <c r="S368" i="8" l="1"/>
  <c r="Q368" i="8"/>
  <c r="Q371" i="8"/>
  <c r="V371" i="8" s="1"/>
  <c r="W371" i="8" s="1"/>
  <c r="V318" i="8"/>
  <c r="W318" i="8" s="1"/>
  <c r="V321" i="8"/>
  <c r="W321" i="8" s="1"/>
  <c r="V367" i="8"/>
  <c r="W367" i="8" s="1"/>
  <c r="W361" i="8"/>
  <c r="S278" i="8"/>
  <c r="S378" i="8"/>
  <c r="V342" i="8"/>
  <c r="W342" i="8" s="1"/>
  <c r="Q328" i="8"/>
  <c r="Q303" i="8"/>
  <c r="Q353" i="8"/>
  <c r="V346" i="8"/>
  <c r="W346" i="8" s="1"/>
  <c r="V343" i="8"/>
  <c r="W343" i="8" s="1"/>
  <c r="S353" i="8"/>
  <c r="W336" i="8"/>
  <c r="S328" i="8"/>
  <c r="W311" i="8"/>
  <c r="S303" i="8"/>
  <c r="V303" i="8"/>
  <c r="W303" i="8" s="1"/>
  <c r="W286" i="8"/>
  <c r="Q278" i="8"/>
  <c r="V278" i="8"/>
  <c r="W278" i="8" s="1"/>
  <c r="W261" i="8"/>
  <c r="V133" i="8"/>
  <c r="V150" i="8" s="1"/>
  <c r="W150" i="8" s="1"/>
  <c r="Q225" i="8"/>
  <c r="Q75" i="8"/>
  <c r="Q150" i="8"/>
  <c r="S100" i="8"/>
  <c r="S175" i="8"/>
  <c r="Q250" i="8"/>
  <c r="Q200" i="8"/>
  <c r="Q50" i="8"/>
  <c r="Q100" i="8"/>
  <c r="S125" i="8"/>
  <c r="Q125" i="8"/>
  <c r="Q175" i="8"/>
  <c r="Q25" i="8"/>
  <c r="S25" i="8"/>
  <c r="S50" i="8"/>
  <c r="S75" i="8"/>
  <c r="V125" i="8"/>
  <c r="W125" i="8" s="1"/>
  <c r="W108" i="8"/>
  <c r="S200" i="8"/>
  <c r="S225" i="8"/>
  <c r="S250" i="8"/>
  <c r="V25" i="8"/>
  <c r="W25" i="8" s="1"/>
  <c r="W8" i="8"/>
  <c r="V50" i="8"/>
  <c r="W50" i="8" s="1"/>
  <c r="W33" i="8"/>
  <c r="V75" i="8"/>
  <c r="W75" i="8" s="1"/>
  <c r="W58" i="8"/>
  <c r="V100" i="8"/>
  <c r="W100" i="8" s="1"/>
  <c r="W83" i="8"/>
  <c r="V175" i="8"/>
  <c r="W175" i="8" s="1"/>
  <c r="W158" i="8"/>
  <c r="S150" i="8"/>
  <c r="V200" i="8"/>
  <c r="W200" i="8" s="1"/>
  <c r="W183" i="8"/>
  <c r="V225" i="8"/>
  <c r="W225" i="8" s="1"/>
  <c r="W208" i="8"/>
  <c r="V250" i="8"/>
  <c r="W250" i="8" s="1"/>
  <c r="W233" i="8"/>
  <c r="V368" i="8" l="1"/>
  <c r="W368" i="8" s="1"/>
  <c r="Q378" i="8"/>
  <c r="V328" i="8"/>
  <c r="W328" i="8" s="1"/>
  <c r="V378" i="8"/>
  <c r="W378" i="8" s="1"/>
  <c r="W133" i="8"/>
  <c r="V353" i="8"/>
  <c r="W353" i="8" s="1"/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8" i="2"/>
  <c r="C19" i="2"/>
  <c r="C20" i="2"/>
  <c r="C21" i="2"/>
  <c r="C22" i="2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24" i="2"/>
  <c r="B25" i="2"/>
  <c r="B26" i="2"/>
  <c r="B27" i="2"/>
  <c r="C27" i="2" s="1"/>
  <c r="B28" i="2"/>
  <c r="B29" i="2"/>
  <c r="C29" i="2" s="1"/>
  <c r="B30" i="2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23" i="2"/>
  <c r="C26" i="2" l="1"/>
  <c r="C25" i="2"/>
  <c r="C23" i="2"/>
  <c r="C30" i="2"/>
  <c r="C28" i="2"/>
  <c r="C24" i="2"/>
</calcChain>
</file>

<file path=xl/sharedStrings.xml><?xml version="1.0" encoding="utf-8"?>
<sst xmlns="http://schemas.openxmlformats.org/spreadsheetml/2006/main" count="1622" uniqueCount="53">
  <si>
    <t>شماره درخواست</t>
  </si>
  <si>
    <t>سگمنت</t>
  </si>
  <si>
    <t>Full/Gap</t>
  </si>
  <si>
    <t>وضعیت</t>
  </si>
  <si>
    <t>شماره گزارش</t>
  </si>
  <si>
    <t>xxx</t>
  </si>
  <si>
    <t>مقدار مورد قبول صورت وضعیت</t>
  </si>
  <si>
    <t>ACC</t>
  </si>
  <si>
    <t>RT NUMBER</t>
  </si>
  <si>
    <t>محیط به سانتی متر</t>
  </si>
  <si>
    <t>Nominal</t>
  </si>
  <si>
    <t>O.D_Inches</t>
  </si>
  <si>
    <t>محیط رند شده به بالا</t>
  </si>
  <si>
    <t>Full</t>
  </si>
  <si>
    <t>مقدار خام ملاک درخواست</t>
  </si>
  <si>
    <t>مبلغ مورد قبول صورت وضعیت</t>
  </si>
  <si>
    <t>قطر خارجی</t>
  </si>
  <si>
    <t>Segment Number</t>
  </si>
  <si>
    <t>سهم هر قطاع</t>
  </si>
  <si>
    <t>سهم کار انجام شده</t>
  </si>
  <si>
    <t>END</t>
  </si>
  <si>
    <t>قصور پیمانکار</t>
  </si>
  <si>
    <t>Gap</t>
  </si>
  <si>
    <t>ENV-Rounded</t>
  </si>
  <si>
    <t>ENV</t>
  </si>
  <si>
    <t>مجموع کار انجام شده</t>
  </si>
  <si>
    <t>از
سانتی متر</t>
  </si>
  <si>
    <t>تا
سانتی متر</t>
  </si>
  <si>
    <t>اندازه اینچ</t>
  </si>
  <si>
    <t>تعداد</t>
  </si>
  <si>
    <t>مقدار درخواست</t>
  </si>
  <si>
    <t>REJ</t>
  </si>
  <si>
    <t>قصور سگمنت پیمانکار</t>
  </si>
  <si>
    <t>مجموع چند سر</t>
  </si>
  <si>
    <t>Segment</t>
  </si>
  <si>
    <t>PPS 122</t>
  </si>
  <si>
    <t>4.8 C</t>
  </si>
  <si>
    <t>4.5 C</t>
  </si>
  <si>
    <t>گزارش  PPS234</t>
  </si>
  <si>
    <t>گزارش  PPS235</t>
  </si>
  <si>
    <t>گزارش  PPS236</t>
  </si>
  <si>
    <t>گزارش  PPS237</t>
  </si>
  <si>
    <t>گزارش  PPS238</t>
  </si>
  <si>
    <t>گزارش  PPS239</t>
  </si>
  <si>
    <t>گزارش  PPS240</t>
  </si>
  <si>
    <t>گزارش  PPS241</t>
  </si>
  <si>
    <t>گزارش  PPS242</t>
  </si>
  <si>
    <t>گزارش  PPS243</t>
  </si>
  <si>
    <t>گزارش  PPS244</t>
  </si>
  <si>
    <t>گزارش  PPS245</t>
  </si>
  <si>
    <t>گزارش  PPS246</t>
  </si>
  <si>
    <t>گزارش  PPS247</t>
  </si>
  <si>
    <t>گزارش  PPS248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</si>
</sst>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-[$ريال-429]"/>
  </numFmts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FFFF"/>
      <name val="Arial"/>
      <family val="2"/>
    </font>
    <font>
      <sz val="9.9"/>
      <color rgb="FF7A7A7A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A7D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rgb="FFAA1F2E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/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medium">
        <color indexed="64"/>
      </top>
      <bottom style="thin">
        <color rgb="FF00B050"/>
      </bottom>
      <diagonal/>
    </border>
    <border>
      <left style="thin">
        <color rgb="FF00B050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thin">
        <color rgb="FF00B050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/>
      <bottom style="medium">
        <color indexed="64"/>
      </bottom>
      <diagonal/>
    </border>
    <border>
      <left style="thin">
        <color rgb="FF00B05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12" fontId="3" fillId="3" borderId="8" xfId="0" applyNumberFormat="1" applyFont="1" applyFill="1" applyBorder="1" applyAlignment="1">
      <alignment horizontal="center" vertical="center" wrapText="1"/>
    </xf>
    <xf numFmtId="12" fontId="3" fillId="3" borderId="12" xfId="0" applyNumberFormat="1" applyFont="1" applyFill="1" applyBorder="1" applyAlignment="1">
      <alignment horizontal="center" vertical="center" wrapText="1"/>
    </xf>
    <xf numFmtId="12" fontId="3" fillId="3" borderId="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64" fontId="0" fillId="0" borderId="6" xfId="0" applyNumberFormat="1" applyBorder="1" applyAlignment="1">
      <alignment horizontal="center" vertical="center"/>
    </xf>
    <xf numFmtId="1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2" fontId="0" fillId="0" borderId="2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12" fontId="0" fillId="0" borderId="13" xfId="0" applyNumberFormat="1" applyBorder="1" applyAlignment="1" applyProtection="1">
      <alignment horizontal="center" vertical="center"/>
      <protection locked="0"/>
    </xf>
    <xf numFmtId="0" fontId="0" fillId="0" borderId="13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2" fontId="1" fillId="2" borderId="14" xfId="1" applyNumberFormat="1" applyBorder="1" applyAlignment="1" applyProtection="1">
      <alignment horizontal="center" vertical="center"/>
    </xf>
    <xf numFmtId="164" fontId="1" fillId="2" borderId="15" xfId="1" applyNumberFormat="1" applyBorder="1" applyAlignment="1" applyProtection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5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4" fillId="5" borderId="0" xfId="0" applyFont="1" applyFill="1" applyAlignment="1" applyProtection="1">
      <alignment horizontal="center" vertical="center"/>
      <protection hidden="1"/>
    </xf>
    <xf numFmtId="0" fontId="0" fillId="0" borderId="13" xfId="0" quotePrefix="1" applyBorder="1" applyAlignment="1" applyProtection="1">
      <alignment horizontal="center" vertical="center"/>
      <protection locked="0"/>
    </xf>
    <xf numFmtId="2" fontId="6" fillId="2" borderId="14" xfId="1" applyNumberFormat="1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right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" fillId="2" borderId="14" xfId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311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7" tint="0.59996337778862885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7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lightHorizontal"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rgb="FF7A7A7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rgb="FF7A7A7A"/>
        <name val="Arial"/>
        <family val="2"/>
        <scheme val="none"/>
      </font>
      <numFmt numFmtId="17" formatCode="#\ ?/?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AA1F2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FA908C-EF27-4AAC-B637-3C2D49897B33}" name="Table1" displayName="Table1" ref="A1:D49" totalsRowShown="0" headerRowDxfId="310" dataDxfId="308" headerRowBorderDxfId="309" tableBorderDxfId="307" totalsRowBorderDxfId="306">
  <autoFilter ref="A1:D49" xr:uid="{CDFA908C-EF27-4AAC-B637-3C2D49897B33}"/>
  <tableColumns count="4">
    <tableColumn id="1" xr3:uid="{A1217E9C-904B-4823-BA61-B21448F21BB8}" name="Nominal" dataDxfId="305"/>
    <tableColumn id="2" xr3:uid="{C8783F05-22BB-4D64-9AA8-1AB194F4D816}" name="O.D_Inches" dataDxfId="304"/>
    <tableColumn id="3" xr3:uid="{FBCBAE16-D017-43D1-8305-0F796CCAD904}" name="ENV" dataDxfId="303">
      <calculatedColumnFormula>Table1[[#This Row],[O.D_Inches]]*2.54*3.14</calculatedColumnFormula>
    </tableColumn>
    <tableColumn id="4" xr3:uid="{7C4AAC66-8538-4AC6-A731-D69FD54687C0}" name="ENV-Rounded" dataDxfId="30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B01AA-B42F-49F3-97F0-8BC6A9FBED6A}">
  <sheetPr codeName="Sheet2"/>
  <dimension ref="A1:R49"/>
  <sheetViews>
    <sheetView rightToLeft="1" workbookViewId="0">
      <selection activeCell="C15" sqref="C15"/>
    </sheetView>
  </sheetViews>
  <sheetFormatPr defaultRowHeight="15" x14ac:dyDescent="0.25"/>
  <cols>
    <col min="1" max="1" width="11.28515625" style="24" customWidth="1"/>
    <col min="2" max="2" width="14.28515625" style="24" customWidth="1"/>
    <col min="3" max="3" width="6.5703125" style="24" customWidth="1"/>
    <col min="4" max="4" width="11.7109375" style="24" customWidth="1"/>
  </cols>
  <sheetData>
    <row r="1" spans="1:4" ht="30" x14ac:dyDescent="0.25">
      <c r="A1" s="4" t="s">
        <v>10</v>
      </c>
      <c r="B1" s="5" t="s">
        <v>11</v>
      </c>
      <c r="C1" s="23" t="s">
        <v>24</v>
      </c>
      <c r="D1" s="23" t="s">
        <v>23</v>
      </c>
    </row>
    <row r="2" spans="1:4" x14ac:dyDescent="0.25">
      <c r="A2" s="6">
        <v>0.125</v>
      </c>
      <c r="B2" s="3">
        <v>0.40500000000000003</v>
      </c>
      <c r="C2" s="24">
        <f>Table1[[#This Row],[O.D_Inches]]*2.54*3.14</f>
        <v>3.2301180000000005</v>
      </c>
      <c r="D2" s="24" t="s">
        <v>22</v>
      </c>
    </row>
    <row r="3" spans="1:4" x14ac:dyDescent="0.25">
      <c r="A3" s="6">
        <v>0.25</v>
      </c>
      <c r="B3" s="3">
        <v>0.54</v>
      </c>
      <c r="C3" s="24">
        <f>Table1[[#This Row],[O.D_Inches]]*2.54*3.14</f>
        <v>4.3068240000000007</v>
      </c>
      <c r="D3" s="24" t="s">
        <v>22</v>
      </c>
    </row>
    <row r="4" spans="1:4" x14ac:dyDescent="0.25">
      <c r="A4" s="6">
        <v>0.375</v>
      </c>
      <c r="B4" s="3">
        <v>0.67500000000000004</v>
      </c>
      <c r="C4" s="24">
        <f>Table1[[#This Row],[O.D_Inches]]*2.54*3.14</f>
        <v>5.3835300000000004</v>
      </c>
      <c r="D4" s="24" t="s">
        <v>22</v>
      </c>
    </row>
    <row r="5" spans="1:4" x14ac:dyDescent="0.25">
      <c r="A5" s="6">
        <v>0.5</v>
      </c>
      <c r="B5" s="3">
        <v>0.84</v>
      </c>
      <c r="C5" s="24">
        <f>Table1[[#This Row],[O.D_Inches]]*2.54*3.14</f>
        <v>6.6995040000000001</v>
      </c>
      <c r="D5" s="24" t="s">
        <v>22</v>
      </c>
    </row>
    <row r="6" spans="1:4" x14ac:dyDescent="0.25">
      <c r="A6" s="6">
        <v>0.75</v>
      </c>
      <c r="B6" s="3">
        <v>1.05</v>
      </c>
      <c r="C6" s="24">
        <f>Table1[[#This Row],[O.D_Inches]]*2.54*3.14</f>
        <v>8.3743800000000004</v>
      </c>
      <c r="D6" s="24" t="s">
        <v>22</v>
      </c>
    </row>
    <row r="7" spans="1:4" x14ac:dyDescent="0.25">
      <c r="A7" s="6">
        <v>1</v>
      </c>
      <c r="B7" s="3">
        <v>1.3149999999999999</v>
      </c>
      <c r="C7" s="24">
        <f>Table1[[#This Row],[O.D_Inches]]*2.54*3.14</f>
        <v>10.487914</v>
      </c>
      <c r="D7" s="24" t="s">
        <v>22</v>
      </c>
    </row>
    <row r="8" spans="1:4" x14ac:dyDescent="0.25">
      <c r="A8" s="6">
        <v>1.25</v>
      </c>
      <c r="B8" s="3">
        <v>1.66</v>
      </c>
      <c r="C8" s="24">
        <f>Table1[[#This Row],[O.D_Inches]]*2.54*3.14</f>
        <v>13.239496000000001</v>
      </c>
      <c r="D8" s="24" t="s">
        <v>22</v>
      </c>
    </row>
    <row r="9" spans="1:4" x14ac:dyDescent="0.25">
      <c r="A9" s="6">
        <v>1.5</v>
      </c>
      <c r="B9" s="3">
        <v>1.9</v>
      </c>
      <c r="C9" s="24">
        <f>Table1[[#This Row],[O.D_Inches]]*2.54*3.14</f>
        <v>15.153639999999999</v>
      </c>
      <c r="D9" s="24" t="s">
        <v>22</v>
      </c>
    </row>
    <row r="10" spans="1:4" x14ac:dyDescent="0.25">
      <c r="A10" s="6">
        <v>2</v>
      </c>
      <c r="B10" s="3">
        <v>2.375</v>
      </c>
      <c r="C10" s="24">
        <f>Table1[[#This Row],[O.D_Inches]]*2.54*3.14</f>
        <v>18.942049999999998</v>
      </c>
      <c r="D10" s="24" t="s">
        <v>22</v>
      </c>
    </row>
    <row r="11" spans="1:4" x14ac:dyDescent="0.25">
      <c r="A11" s="6">
        <v>2.5</v>
      </c>
      <c r="B11" s="3">
        <v>2.875</v>
      </c>
      <c r="C11" s="24">
        <f>Table1[[#This Row],[O.D_Inches]]*2.54*3.14</f>
        <v>22.929850000000002</v>
      </c>
      <c r="D11" s="24" t="s">
        <v>22</v>
      </c>
    </row>
    <row r="12" spans="1:4" x14ac:dyDescent="0.25">
      <c r="A12" s="6">
        <v>3</v>
      </c>
      <c r="B12" s="3">
        <v>3.5</v>
      </c>
      <c r="C12" s="24">
        <f>Table1[[#This Row],[O.D_Inches]]*2.54*3.14</f>
        <v>27.914600000000004</v>
      </c>
      <c r="D12" s="24" t="s">
        <v>22</v>
      </c>
    </row>
    <row r="13" spans="1:4" x14ac:dyDescent="0.25">
      <c r="A13" s="6">
        <v>3.5</v>
      </c>
      <c r="B13" s="3">
        <v>4</v>
      </c>
      <c r="C13" s="24">
        <f>Table1[[#This Row],[O.D_Inches]]*2.54*3.14</f>
        <v>31.9024</v>
      </c>
    </row>
    <row r="14" spans="1:4" x14ac:dyDescent="0.25">
      <c r="A14" s="6">
        <v>4</v>
      </c>
      <c r="B14" s="3">
        <v>4.5</v>
      </c>
      <c r="C14" s="24">
        <f>Table1[[#This Row],[O.D_Inches]]*2.54*3.14</f>
        <v>35.8902</v>
      </c>
    </row>
    <row r="15" spans="1:4" x14ac:dyDescent="0.25">
      <c r="A15" s="6">
        <v>4.5</v>
      </c>
      <c r="B15" s="3">
        <v>5</v>
      </c>
      <c r="C15" s="24">
        <f>Table1[[#This Row],[O.D_Inches]]*2.54*3.14</f>
        <v>39.878</v>
      </c>
    </row>
    <row r="16" spans="1:4" x14ac:dyDescent="0.25">
      <c r="A16" s="6" t="s">
        <v>37</v>
      </c>
      <c r="B16" s="3">
        <v>4.5</v>
      </c>
      <c r="C16" s="24">
        <f>Table1[[#This Row],[O.D_Inches]]*2.54*3.14</f>
        <v>35.8902</v>
      </c>
    </row>
    <row r="17" spans="1:18" x14ac:dyDescent="0.25">
      <c r="A17" s="6" t="s">
        <v>36</v>
      </c>
      <c r="B17" s="3">
        <v>4.8</v>
      </c>
      <c r="C17" s="24">
        <f>Table1[[#This Row],[O.D_Inches]]*2.54*3.14</f>
        <v>38.282879999999999</v>
      </c>
    </row>
    <row r="18" spans="1:18" x14ac:dyDescent="0.25">
      <c r="A18" s="6">
        <v>5</v>
      </c>
      <c r="B18" s="3">
        <v>5.5629999999999997</v>
      </c>
      <c r="C18" s="24">
        <f>Table1[[#This Row],[O.D_Inches]]*2.54*3.14</f>
        <v>44.368262800000004</v>
      </c>
    </row>
    <row r="19" spans="1:18" x14ac:dyDescent="0.25">
      <c r="A19" s="6">
        <v>6</v>
      </c>
      <c r="B19" s="3">
        <v>6.625</v>
      </c>
      <c r="C19" s="24">
        <f>Table1[[#This Row],[O.D_Inches]]*2.54*3.14</f>
        <v>52.838350000000005</v>
      </c>
    </row>
    <row r="20" spans="1:18" x14ac:dyDescent="0.25">
      <c r="A20" s="6">
        <v>8</v>
      </c>
      <c r="B20" s="3">
        <v>8.625</v>
      </c>
      <c r="C20" s="24">
        <f>Table1[[#This Row],[O.D_Inches]]*2.54*3.14</f>
        <v>68.789550000000006</v>
      </c>
    </row>
    <row r="21" spans="1:18" x14ac:dyDescent="0.25">
      <c r="A21" s="6">
        <v>10</v>
      </c>
      <c r="B21" s="3">
        <v>10.75</v>
      </c>
      <c r="C21" s="24">
        <f>Table1[[#This Row],[O.D_Inches]]*2.54*3.14</f>
        <v>85.737700000000004</v>
      </c>
      <c r="D21" s="24">
        <v>90</v>
      </c>
    </row>
    <row r="22" spans="1:18" x14ac:dyDescent="0.25">
      <c r="A22" s="6">
        <v>12</v>
      </c>
      <c r="B22" s="3">
        <v>12.75</v>
      </c>
      <c r="C22" s="24">
        <f>Table1[[#This Row],[O.D_Inches]]*2.54*3.14</f>
        <v>101.6889</v>
      </c>
    </row>
    <row r="23" spans="1:18" x14ac:dyDescent="0.25">
      <c r="A23" s="6">
        <v>14</v>
      </c>
      <c r="B23" s="8">
        <f>Table1[[#This Row],[Nominal]]</f>
        <v>14</v>
      </c>
      <c r="C23" s="24">
        <f>Table1[[#This Row],[O.D_Inches]]*2.54*3.14</f>
        <v>111.65840000000001</v>
      </c>
    </row>
    <row r="24" spans="1:18" x14ac:dyDescent="0.25">
      <c r="A24" s="6">
        <v>16</v>
      </c>
      <c r="B24" s="8">
        <f>Table1[[#This Row],[Nominal]]</f>
        <v>16</v>
      </c>
      <c r="C24" s="24">
        <f>Table1[[#This Row],[O.D_Inches]]*2.54*3.14</f>
        <v>127.6096</v>
      </c>
    </row>
    <row r="25" spans="1:18" x14ac:dyDescent="0.25">
      <c r="A25" s="7">
        <v>18</v>
      </c>
      <c r="B25" s="8">
        <f>Table1[[#This Row],[Nominal]]</f>
        <v>18</v>
      </c>
      <c r="C25" s="24">
        <f>Table1[[#This Row],[O.D_Inches]]*2.54*3.14</f>
        <v>143.5608</v>
      </c>
    </row>
    <row r="26" spans="1:18" x14ac:dyDescent="0.25">
      <c r="A26" s="6">
        <v>20</v>
      </c>
      <c r="B26" s="8">
        <f>Table1[[#This Row],[Nominal]]</f>
        <v>20</v>
      </c>
      <c r="C26" s="24">
        <f>Table1[[#This Row],[O.D_Inches]]*2.54*3.14</f>
        <v>159.512</v>
      </c>
    </row>
    <row r="27" spans="1:18" x14ac:dyDescent="0.25">
      <c r="A27" s="6">
        <v>22</v>
      </c>
      <c r="B27" s="8">
        <f>Table1[[#This Row],[Nominal]]</f>
        <v>22</v>
      </c>
      <c r="C27" s="24">
        <f>Table1[[#This Row],[O.D_Inches]]*2.54*3.14</f>
        <v>175.46320000000003</v>
      </c>
    </row>
    <row r="28" spans="1:18" x14ac:dyDescent="0.25">
      <c r="A28" s="6">
        <v>24</v>
      </c>
      <c r="B28" s="8">
        <f>Table1[[#This Row],[Nominal]]</f>
        <v>24</v>
      </c>
      <c r="C28" s="24">
        <f>Table1[[#This Row],[O.D_Inches]]*2.54*3.14</f>
        <v>191.4144</v>
      </c>
    </row>
    <row r="29" spans="1:18" x14ac:dyDescent="0.25">
      <c r="A29" s="6">
        <v>26</v>
      </c>
      <c r="B29" s="8">
        <f>Table1[[#This Row],[Nominal]]</f>
        <v>26</v>
      </c>
      <c r="C29" s="24">
        <f>Table1[[#This Row],[O.D_Inches]]*2.54*3.14</f>
        <v>207.36560000000003</v>
      </c>
    </row>
    <row r="30" spans="1:18" x14ac:dyDescent="0.25">
      <c r="A30" s="6">
        <v>28</v>
      </c>
      <c r="B30" s="8">
        <f>Table1[[#This Row],[Nominal]]</f>
        <v>28</v>
      </c>
      <c r="C30" s="24">
        <f>Table1[[#This Row],[O.D_Inches]]*2.54*3.14</f>
        <v>223.31680000000003</v>
      </c>
    </row>
    <row r="31" spans="1:18" x14ac:dyDescent="0.25">
      <c r="A31" s="6">
        <v>30</v>
      </c>
      <c r="B31" s="8">
        <f>Table1[[#This Row],[Nominal]]</f>
        <v>30</v>
      </c>
      <c r="C31" s="24">
        <f>Table1[[#This Row],[O.D_Inches]]*2.54*3.14</f>
        <v>239.26800000000003</v>
      </c>
      <c r="R31" s="9"/>
    </row>
    <row r="32" spans="1:18" x14ac:dyDescent="0.25">
      <c r="A32" s="6">
        <v>32</v>
      </c>
      <c r="B32" s="8">
        <f>Table1[[#This Row],[Nominal]]</f>
        <v>32</v>
      </c>
      <c r="C32" s="24">
        <f>Table1[[#This Row],[O.D_Inches]]*2.54*3.14</f>
        <v>255.2192</v>
      </c>
      <c r="R32" s="9"/>
    </row>
    <row r="33" spans="1:18" x14ac:dyDescent="0.25">
      <c r="A33" s="6">
        <v>34</v>
      </c>
      <c r="B33" s="8">
        <f>Table1[[#This Row],[Nominal]]</f>
        <v>34</v>
      </c>
      <c r="C33" s="24">
        <f>Table1[[#This Row],[O.D_Inches]]*2.54*3.14</f>
        <v>271.17040000000003</v>
      </c>
      <c r="R33" s="9"/>
    </row>
    <row r="34" spans="1:18" x14ac:dyDescent="0.25">
      <c r="A34" s="6">
        <v>36</v>
      </c>
      <c r="B34" s="8">
        <f>Table1[[#This Row],[Nominal]]</f>
        <v>36</v>
      </c>
      <c r="C34" s="24">
        <f>Table1[[#This Row],[O.D_Inches]]*2.54*3.14</f>
        <v>287.1216</v>
      </c>
      <c r="R34" s="9"/>
    </row>
    <row r="35" spans="1:18" x14ac:dyDescent="0.25">
      <c r="A35" s="6">
        <v>38</v>
      </c>
      <c r="B35" s="8">
        <f>Table1[[#This Row],[Nominal]]</f>
        <v>38</v>
      </c>
      <c r="C35" s="24">
        <f>Table1[[#This Row],[O.D_Inches]]*2.54*3.14</f>
        <v>303.07279999999997</v>
      </c>
      <c r="R35" s="9"/>
    </row>
    <row r="36" spans="1:18" x14ac:dyDescent="0.25">
      <c r="A36" s="6">
        <v>40</v>
      </c>
      <c r="B36" s="8">
        <f>Table1[[#This Row],[Nominal]]</f>
        <v>40</v>
      </c>
      <c r="C36" s="24">
        <f>Table1[[#This Row],[O.D_Inches]]*2.54*3.14</f>
        <v>319.024</v>
      </c>
      <c r="R36" s="9"/>
    </row>
    <row r="37" spans="1:18" x14ac:dyDescent="0.25">
      <c r="A37" s="6">
        <v>42</v>
      </c>
      <c r="B37" s="8">
        <f>Table1[[#This Row],[Nominal]]</f>
        <v>42</v>
      </c>
      <c r="C37" s="24">
        <f>Table1[[#This Row],[O.D_Inches]]*2.54*3.14</f>
        <v>334.97520000000003</v>
      </c>
      <c r="R37" s="9"/>
    </row>
    <row r="38" spans="1:18" x14ac:dyDescent="0.25">
      <c r="A38" s="6">
        <v>44</v>
      </c>
      <c r="B38" s="8">
        <f>Table1[[#This Row],[Nominal]]</f>
        <v>44</v>
      </c>
      <c r="C38" s="24">
        <f>Table1[[#This Row],[O.D_Inches]]*2.54*3.14</f>
        <v>350.92640000000006</v>
      </c>
      <c r="R38" s="9"/>
    </row>
    <row r="39" spans="1:18" x14ac:dyDescent="0.25">
      <c r="A39" s="6">
        <v>46</v>
      </c>
      <c r="B39" s="8">
        <f>Table1[[#This Row],[Nominal]]</f>
        <v>46</v>
      </c>
      <c r="C39" s="24">
        <f>Table1[[#This Row],[O.D_Inches]]*2.54*3.14</f>
        <v>366.87760000000003</v>
      </c>
      <c r="R39" s="9"/>
    </row>
    <row r="40" spans="1:18" x14ac:dyDescent="0.25">
      <c r="A40" s="6">
        <v>48</v>
      </c>
      <c r="B40" s="8">
        <f>Table1[[#This Row],[Nominal]]</f>
        <v>48</v>
      </c>
      <c r="C40" s="24">
        <f>Table1[[#This Row],[O.D_Inches]]*2.54*3.14</f>
        <v>382.8288</v>
      </c>
      <c r="R40" s="9"/>
    </row>
    <row r="41" spans="1:18" x14ac:dyDescent="0.25">
      <c r="A41" s="6">
        <v>52</v>
      </c>
      <c r="B41" s="8">
        <f>Table1[[#This Row],[Nominal]]</f>
        <v>52</v>
      </c>
      <c r="C41" s="24">
        <f>Table1[[#This Row],[O.D_Inches]]*2.54*3.14</f>
        <v>414.73120000000006</v>
      </c>
      <c r="R41" s="9"/>
    </row>
    <row r="42" spans="1:18" x14ac:dyDescent="0.25">
      <c r="A42" s="6">
        <v>56</v>
      </c>
      <c r="B42" s="8">
        <f>Table1[[#This Row],[Nominal]]</f>
        <v>56</v>
      </c>
      <c r="C42" s="24">
        <f>Table1[[#This Row],[O.D_Inches]]*2.54*3.14</f>
        <v>446.63360000000006</v>
      </c>
      <c r="R42" s="9"/>
    </row>
    <row r="43" spans="1:18" x14ac:dyDescent="0.25">
      <c r="A43" s="6">
        <v>60</v>
      </c>
      <c r="B43" s="8">
        <f>Table1[[#This Row],[Nominal]]</f>
        <v>60</v>
      </c>
      <c r="C43" s="24">
        <f>Table1[[#This Row],[O.D_Inches]]*2.54*3.14</f>
        <v>478.53600000000006</v>
      </c>
      <c r="R43" s="9"/>
    </row>
    <row r="44" spans="1:18" x14ac:dyDescent="0.25">
      <c r="A44" s="6">
        <v>64</v>
      </c>
      <c r="B44" s="8">
        <f>Table1[[#This Row],[Nominal]]</f>
        <v>64</v>
      </c>
      <c r="C44" s="24">
        <f>Table1[[#This Row],[O.D_Inches]]*2.54*3.14</f>
        <v>510.4384</v>
      </c>
      <c r="R44" s="9"/>
    </row>
    <row r="45" spans="1:18" x14ac:dyDescent="0.25">
      <c r="A45" s="6">
        <v>68</v>
      </c>
      <c r="B45" s="8">
        <f>Table1[[#This Row],[Nominal]]</f>
        <v>68</v>
      </c>
      <c r="C45" s="24">
        <f>Table1[[#This Row],[O.D_Inches]]*2.54*3.14</f>
        <v>542.34080000000006</v>
      </c>
      <c r="R45" s="9"/>
    </row>
    <row r="46" spans="1:18" x14ac:dyDescent="0.25">
      <c r="A46" s="6">
        <v>72</v>
      </c>
      <c r="B46" s="8">
        <f>Table1[[#This Row],[Nominal]]</f>
        <v>72</v>
      </c>
      <c r="C46" s="24">
        <f>Table1[[#This Row],[O.D_Inches]]*2.54*3.14</f>
        <v>574.2432</v>
      </c>
      <c r="R46" s="9"/>
    </row>
    <row r="47" spans="1:18" x14ac:dyDescent="0.25">
      <c r="A47" s="6">
        <v>76</v>
      </c>
      <c r="B47" s="8">
        <f>Table1[[#This Row],[Nominal]]</f>
        <v>76</v>
      </c>
      <c r="C47" s="24">
        <f>Table1[[#This Row],[O.D_Inches]]*2.54*3.14</f>
        <v>606.14559999999994</v>
      </c>
      <c r="R47" s="9"/>
    </row>
    <row r="48" spans="1:18" x14ac:dyDescent="0.25">
      <c r="A48" s="6">
        <v>80</v>
      </c>
      <c r="B48" s="8">
        <f>Table1[[#This Row],[Nominal]]</f>
        <v>80</v>
      </c>
      <c r="C48" s="24">
        <f>Table1[[#This Row],[O.D_Inches]]*2.54*3.14</f>
        <v>638.048</v>
      </c>
    </row>
    <row r="49" spans="1:3" x14ac:dyDescent="0.25">
      <c r="A49" s="6">
        <v>83</v>
      </c>
      <c r="B49" s="8">
        <f>Table1[[#This Row],[Nominal]]</f>
        <v>83</v>
      </c>
      <c r="C49" s="24">
        <f>Table1[[#This Row],[O.D_Inches]]*2.54*3.14</f>
        <v>661.97479999999996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1BC14-389D-41FA-9C4F-A4FDA9D063A1}">
  <sheetPr codeName="Sheet7"/>
  <dimension ref="A1:Y472"/>
  <sheetViews>
    <sheetView rightToLeft="1" tabSelected="1" topLeftCell="B23" zoomScaleNormal="100" workbookViewId="0">
      <selection activeCell="N8" sqref="N8:N23"/>
    </sheetView>
  </sheetViews>
  <sheetFormatPr defaultRowHeight="15" outlineLevelRow="1" x14ac:dyDescent="0.25"/>
  <cols>
    <col min="1" max="1" width="4.5703125" style="1" hidden="1" customWidth="1"/>
    <col min="2" max="2" width="11.7109375" style="1" bestFit="1" customWidth="1"/>
    <col min="3" max="3" width="4.85546875" style="1" bestFit="1" customWidth="1"/>
    <col min="4" max="4" width="6.140625" style="1" customWidth="1"/>
    <col min="5" max="5" width="7.28515625" style="1" hidden="1" customWidth="1"/>
    <col min="6" max="6" width="8.42578125" style="1" bestFit="1" customWidth="1"/>
    <col min="7" max="7" width="6.5703125" style="1" customWidth="1"/>
    <col min="8" max="8" width="9.140625" style="1"/>
    <col min="9" max="9" width="6.85546875" style="1" customWidth="1"/>
    <col min="10" max="11" width="7.42578125" style="1" customWidth="1"/>
    <col min="12" max="12" width="9.140625" style="1"/>
    <col min="13" max="14" width="8.7109375" style="1" customWidth="1"/>
    <col min="15" max="15" width="8.140625" style="1" customWidth="1"/>
    <col min="16" max="16" width="7.42578125" style="1" customWidth="1"/>
    <col min="17" max="19" width="8.7109375" style="1" customWidth="1"/>
    <col min="20" max="20" width="23.7109375" style="1" bestFit="1" customWidth="1"/>
    <col min="21" max="21" width="9.140625" style="1" hidden="1" customWidth="1"/>
    <col min="22" max="22" width="13.7109375" style="1" bestFit="1" customWidth="1"/>
    <col min="23" max="23" width="16.28515625" style="1" bestFit="1" customWidth="1"/>
    <col min="24" max="24" width="7.42578125" style="28" customWidth="1"/>
    <col min="25" max="25" width="6.28515625" style="1" hidden="1" customWidth="1"/>
    <col min="26" max="16384" width="9.140625" style="1"/>
  </cols>
  <sheetData>
    <row r="1" spans="1:25" ht="27" customHeight="1" x14ac:dyDescent="0.25">
      <c r="A1" s="44" t="s">
        <v>38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Y1" s="27" t="s">
        <v>17</v>
      </c>
    </row>
    <row r="2" spans="1:25" ht="15" hidden="1" customHeight="1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Y2" s="1">
        <v>1</v>
      </c>
    </row>
    <row r="3" spans="1:25" ht="15" hidden="1" customHeight="1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Y3" s="1">
        <v>1</v>
      </c>
    </row>
    <row r="4" spans="1:25" ht="15" hidden="1" customHeight="1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Y4" s="1">
        <v>1</v>
      </c>
    </row>
    <row r="5" spans="1:25" ht="15.75" thickBot="1" x14ac:dyDescent="0.3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Y5" s="1">
        <v>1</v>
      </c>
    </row>
    <row r="6" spans="1:25" ht="30" customHeight="1" x14ac:dyDescent="0.25">
      <c r="A6" s="37" t="s">
        <v>0</v>
      </c>
      <c r="B6" s="37" t="s">
        <v>8</v>
      </c>
      <c r="C6" s="39" t="s">
        <v>29</v>
      </c>
      <c r="D6" s="37" t="s">
        <v>28</v>
      </c>
      <c r="E6" s="37" t="s">
        <v>28</v>
      </c>
      <c r="F6" s="39" t="s">
        <v>33</v>
      </c>
      <c r="G6" s="39" t="s">
        <v>16</v>
      </c>
      <c r="H6" s="37" t="s">
        <v>9</v>
      </c>
      <c r="I6" s="39" t="s">
        <v>12</v>
      </c>
      <c r="J6" s="41" t="s">
        <v>1</v>
      </c>
      <c r="K6" s="41"/>
      <c r="L6" s="41"/>
      <c r="M6" s="37" t="s">
        <v>14</v>
      </c>
      <c r="N6" s="39" t="s">
        <v>18</v>
      </c>
      <c r="O6" s="39" t="s">
        <v>32</v>
      </c>
      <c r="P6" s="39" t="s">
        <v>21</v>
      </c>
      <c r="Q6" s="39" t="s">
        <v>30</v>
      </c>
      <c r="R6" s="39" t="s">
        <v>19</v>
      </c>
      <c r="S6" s="39" t="s">
        <v>25</v>
      </c>
      <c r="T6" s="41" t="s">
        <v>3</v>
      </c>
      <c r="U6" s="37" t="s">
        <v>4</v>
      </c>
      <c r="V6" s="37" t="s">
        <v>6</v>
      </c>
      <c r="W6" s="42" t="s">
        <v>15</v>
      </c>
      <c r="Y6" s="1">
        <v>1</v>
      </c>
    </row>
    <row r="7" spans="1:25" ht="30" customHeight="1" thickBot="1" x14ac:dyDescent="0.3">
      <c r="A7" s="38"/>
      <c r="B7" s="38"/>
      <c r="C7" s="40"/>
      <c r="D7" s="38"/>
      <c r="E7" s="38"/>
      <c r="F7" s="40"/>
      <c r="G7" s="40"/>
      <c r="H7" s="38"/>
      <c r="I7" s="40"/>
      <c r="J7" s="26" t="s">
        <v>26</v>
      </c>
      <c r="K7" s="26" t="s">
        <v>27</v>
      </c>
      <c r="L7" s="2" t="s">
        <v>2</v>
      </c>
      <c r="M7" s="38"/>
      <c r="N7" s="40"/>
      <c r="O7" s="40"/>
      <c r="P7" s="40"/>
      <c r="Q7" s="40"/>
      <c r="R7" s="40"/>
      <c r="S7" s="40"/>
      <c r="T7" s="46"/>
      <c r="U7" s="38"/>
      <c r="V7" s="38"/>
      <c r="W7" s="43"/>
      <c r="Y7" s="1">
        <v>1</v>
      </c>
    </row>
    <row r="8" spans="1:25" ht="15.75" outlineLevel="1" thickBot="1" x14ac:dyDescent="0.3">
      <c r="A8" s="12" t="s">
        <v>5</v>
      </c>
      <c r="B8" s="16"/>
      <c r="C8" s="30">
        <v>5</v>
      </c>
      <c r="D8" s="11">
        <v>6</v>
      </c>
      <c r="E8" s="11">
        <f>IF(D8="4.5 C", 4.5, IF(D8="4.8 C", 4.8, D8))</f>
        <v>6</v>
      </c>
      <c r="F8" s="11">
        <f t="shared" ref="F8:F23" si="0">IF(L8="Full", IF(Y8=1, E8*C8, E8), IF(L8="Gap", C8, E8))</f>
        <v>30</v>
      </c>
      <c r="G8" s="2">
        <f>VLOOKUP('930-4'!D8,Table1[],2,0)</f>
        <v>6.625</v>
      </c>
      <c r="H8" s="13">
        <f>G8*3.14*2.54</f>
        <v>52.838350000000005</v>
      </c>
      <c r="I8" s="2">
        <f>ROUNDUP(H8, 0)</f>
        <v>53</v>
      </c>
      <c r="J8" s="12">
        <v>40</v>
      </c>
      <c r="K8" s="12">
        <v>50</v>
      </c>
      <c r="L8" s="16" t="s">
        <v>13</v>
      </c>
      <c r="M8" s="14">
        <f t="shared" ref="M8:M23" si="1">IF(L8="Gap",C8, IF(E8&lt;=3, 3*C8, IF(L8="Full", C8*E8/Y8, IF(J8=K8,"Error", IF(K8&lt;J8, C8*(I8+K8-J8)*H8*E8/(3.14*2.54*I8*G8), C8*(K8-J8)*H8*E8/(3.14*2.54*I8*G8))))))</f>
        <v>30</v>
      </c>
      <c r="N8" s="15">
        <f t="shared" ref="N8:N23" si="2">IF(L8=0,IF(L7=0,IF(L6=0,IF(L5=0,IF(L4=0,IF(L3=0,IF(L2="Segment",M8,0),IF(L3="Segment",M8,0)),IF(L4="Segment",M8,0)),IF(L5="Segment",M8,0)),IF(L6="Segment",M8,0)),IF(L7="Segment",M8,0)),M8)</f>
        <v>30</v>
      </c>
      <c r="O8" s="15" t="str">
        <f t="shared" ref="O8:O23" si="3">IF(OR(T8="REJ",T8="NOT DONE-CONTRACTOR"), "YES", "NO")</f>
        <v>NO</v>
      </c>
      <c r="P8" s="25" t="str">
        <f>IF(L8&lt;&gt;0, IF(L8="Gap", O8, IF(L9&lt;&gt;0,  IF(O8="NO", "NO", "YES"), IF(L10&lt;&gt;0, IF(AND(O8="NO", O9="NO"), "NO", "YES"), IF(L11&lt;&gt;0, IF(AND(O8="NO", O9="NO", O10="NO"), "NO", "YES"), IF(AND(O8="NO", O9="NO", O10="NO", O11="NO"), "NO", "YES"))))))</f>
        <v>NO</v>
      </c>
      <c r="Q8" s="25">
        <f>IF(L8=0,0,IF(L9&lt;&gt;0,N8,IF(L10&lt;&gt;0,N8+N9,IF(L11&lt;&gt;0,N8+N9+N10,IF(L12&lt;&gt;0,N8+N9+N10+N11,IF(L13&lt;&gt;0,N8+N9+N10+N11+N12,N8+N9+N10+N11+N12+N13))))))</f>
        <v>30</v>
      </c>
      <c r="R8" s="25">
        <f t="shared" ref="R8:R23" si="4">IF(OR(T8="ACC", T8="REP", T8="RS", T8="RT"), N8, 0)</f>
        <v>30</v>
      </c>
      <c r="S8" s="25">
        <f t="shared" ref="S8:S20" si="5">IF(L8=0, 0, IF(L9&lt;&gt;0, R8, IF(L10&lt;&gt;0, R8+R9, IF(L11&lt;&gt;0, R8+R9+R10, IF(L12&lt;&gt;0, R8+R9+R10+R11, IF(L13&lt;&gt;0, R8+R9+R10+R11+R12, R8+R9+R10+R11+R12+R13))))))</f>
        <v>30</v>
      </c>
      <c r="T8" s="12" t="s">
        <v>7</v>
      </c>
      <c r="U8" s="12" t="s">
        <v>35</v>
      </c>
      <c r="V8" s="25">
        <f t="shared" ref="V8:V23" si="6">IF(OR(S8=0, P8=FALSE), 0, IF(AND(Q8&gt;3*C8, Q8&gt;F8), "Segment Error", IF(OR(P8="YES", L8="Gap"), S8, IF(E8&lt;3, S8, IF(S8&gt;F8/2, F8, F8/2)))))</f>
        <v>30</v>
      </c>
      <c r="W8" s="10">
        <f>V8*2400000</f>
        <v>72000000</v>
      </c>
      <c r="Y8" s="1">
        <f t="shared" ref="Y8:Y21" si="7">IF(L8="FULL",IF(L9=0,IF(L10=0,IF(L11=0,IF(L12=0,5,4),3),2),1),IF(L8=0,Y7,1))</f>
        <v>1</v>
      </c>
    </row>
    <row r="9" spans="1:25" ht="15.75" outlineLevel="1" thickBot="1" x14ac:dyDescent="0.3">
      <c r="A9" s="12" t="s">
        <v>5</v>
      </c>
      <c r="B9" s="16"/>
      <c r="C9" s="30">
        <v>0</v>
      </c>
      <c r="D9" s="11">
        <v>12</v>
      </c>
      <c r="E9" s="11">
        <f t="shared" ref="E9:E23" si="8">IF(D9="4.5 C", 4.5, IF(D9="4.8 C", 4.8, D9))</f>
        <v>12</v>
      </c>
      <c r="F9" s="11">
        <f t="shared" si="0"/>
        <v>0</v>
      </c>
      <c r="G9" s="2">
        <f>VLOOKUP('930-4'!D9,Table1[],2,0)</f>
        <v>12.75</v>
      </c>
      <c r="H9" s="13">
        <f t="shared" ref="H9:H23" si="9">G9*3.14*2.54</f>
        <v>101.6889</v>
      </c>
      <c r="I9" s="2">
        <f t="shared" ref="I9:I23" si="10">ROUNDUP(H9, 0)</f>
        <v>102</v>
      </c>
      <c r="J9" s="12">
        <v>4</v>
      </c>
      <c r="K9" s="12">
        <v>13</v>
      </c>
      <c r="L9" s="16" t="s">
        <v>13</v>
      </c>
      <c r="M9" s="14">
        <f t="shared" si="1"/>
        <v>0</v>
      </c>
      <c r="N9" s="15">
        <f t="shared" si="2"/>
        <v>0</v>
      </c>
      <c r="O9" s="15" t="str">
        <f t="shared" si="3"/>
        <v>NO</v>
      </c>
      <c r="P9" s="25" t="str">
        <f>IF(L9&lt;&gt;0, IF(L9="Gap", O9, IF(L10&lt;&gt;0,  IF(O9="NO", "NO", "YES"), IF(L11&lt;&gt;0, IF(AND(O9="NO", O10="NO"), "NO", "YES"), IF(L12&lt;&gt;0, IF(AND(O9="NO", O10="NO", O11="NO"), "NO", "YES"), IF(AND(O9="NO", O10="NO", O11="NO", O12="NO"), "NO", "YES"))))))</f>
        <v>NO</v>
      </c>
      <c r="Q9" s="25">
        <f t="shared" ref="Q9:Q20" si="11">IF(L9=0,0,IF(L10&lt;&gt;0,N9,IF(L11&lt;&gt;0,N9+N10,IF(L12&lt;&gt;0,N9+N10+N11,IF(L13&lt;&gt;0,N9+N10+N11+N12,IF(L14&lt;&gt;0,N9+N10+N11+N12+N13,N9+N10+N11+N12+N13+N14))))))</f>
        <v>0</v>
      </c>
      <c r="R9" s="25">
        <f t="shared" si="4"/>
        <v>0</v>
      </c>
      <c r="S9" s="25">
        <f t="shared" si="5"/>
        <v>0</v>
      </c>
      <c r="T9" s="12" t="s">
        <v>7</v>
      </c>
      <c r="U9" s="12" t="s">
        <v>35</v>
      </c>
      <c r="V9" s="25">
        <f t="shared" si="6"/>
        <v>0</v>
      </c>
      <c r="W9" s="10">
        <f t="shared" ref="W9:W23" si="12">V9*2400000</f>
        <v>0</v>
      </c>
      <c r="Y9" s="1">
        <f t="shared" si="7"/>
        <v>1</v>
      </c>
    </row>
    <row r="10" spans="1:25" ht="15.75" outlineLevel="1" thickBot="1" x14ac:dyDescent="0.3">
      <c r="A10" s="12" t="s">
        <v>5</v>
      </c>
      <c r="B10" s="16"/>
      <c r="C10" s="30">
        <v>0</v>
      </c>
      <c r="D10" s="11">
        <v>10</v>
      </c>
      <c r="E10" s="11">
        <f t="shared" si="8"/>
        <v>10</v>
      </c>
      <c r="F10" s="11">
        <f t="shared" si="0"/>
        <v>0</v>
      </c>
      <c r="G10" s="2">
        <f>VLOOKUP('930-4'!D10,Table1[],2,0)</f>
        <v>10.75</v>
      </c>
      <c r="H10" s="13">
        <f t="shared" si="9"/>
        <v>85.737700000000004</v>
      </c>
      <c r="I10" s="2">
        <f t="shared" si="10"/>
        <v>86</v>
      </c>
      <c r="J10" s="12">
        <v>4</v>
      </c>
      <c r="K10" s="12">
        <v>13</v>
      </c>
      <c r="L10" s="16" t="s">
        <v>13</v>
      </c>
      <c r="M10" s="14">
        <f t="shared" si="1"/>
        <v>0</v>
      </c>
      <c r="N10" s="15">
        <f t="shared" si="2"/>
        <v>0</v>
      </c>
      <c r="O10" s="15" t="str">
        <f t="shared" si="3"/>
        <v>NO</v>
      </c>
      <c r="P10" s="25" t="str">
        <f>IF(L10&lt;&gt;0, IF(L10="Gap", O10, IF(L11&lt;&gt;0,  IF(O10="NO", "NO", "YES"), IF(L12&lt;&gt;0, IF(AND(O10="NO", O11="NO"), "NO", "YES"), IF(L18&lt;&gt;0, IF(AND(O10="NO", O11="NO", O12="NO"), "NO", "YES"), IF(AND(O10="NO", O11="NO", O12="NO", O18="NO"), "NO", "YES"))))))</f>
        <v>NO</v>
      </c>
      <c r="Q10" s="25">
        <f t="shared" si="11"/>
        <v>0</v>
      </c>
      <c r="R10" s="25">
        <f t="shared" si="4"/>
        <v>0</v>
      </c>
      <c r="S10" s="25">
        <f t="shared" si="5"/>
        <v>0</v>
      </c>
      <c r="T10" s="12" t="s">
        <v>7</v>
      </c>
      <c r="U10" s="12" t="s">
        <v>35</v>
      </c>
      <c r="V10" s="25">
        <f t="shared" si="6"/>
        <v>0</v>
      </c>
      <c r="W10" s="10">
        <f t="shared" si="12"/>
        <v>0</v>
      </c>
      <c r="X10" s="33"/>
      <c r="Y10" s="1">
        <f t="shared" si="7"/>
        <v>1</v>
      </c>
    </row>
    <row r="11" spans="1:25" ht="15.75" outlineLevel="1" thickBot="1" x14ac:dyDescent="0.3">
      <c r="A11" s="12" t="s">
        <v>5</v>
      </c>
      <c r="B11" s="16"/>
      <c r="C11" s="30">
        <v>0</v>
      </c>
      <c r="D11" s="11">
        <v>28</v>
      </c>
      <c r="E11" s="11">
        <f t="shared" si="8"/>
        <v>28</v>
      </c>
      <c r="F11" s="11">
        <f t="shared" si="0"/>
        <v>0</v>
      </c>
      <c r="G11" s="2">
        <f>VLOOKUP('930-4'!D11,Table1[],2,0)</f>
        <v>28</v>
      </c>
      <c r="H11" s="13">
        <f t="shared" si="9"/>
        <v>223.3168</v>
      </c>
      <c r="I11" s="2">
        <f t="shared" si="10"/>
        <v>224</v>
      </c>
      <c r="J11" s="12">
        <v>20</v>
      </c>
      <c r="K11" s="12">
        <v>40</v>
      </c>
      <c r="L11" s="16" t="s">
        <v>13</v>
      </c>
      <c r="M11" s="14">
        <f t="shared" si="1"/>
        <v>0</v>
      </c>
      <c r="N11" s="15">
        <f t="shared" si="2"/>
        <v>0</v>
      </c>
      <c r="O11" s="15" t="str">
        <f t="shared" si="3"/>
        <v>NO</v>
      </c>
      <c r="P11" s="25" t="str">
        <f>IF(L11&lt;&gt;0, IF(L11="Gap", O11, IF(L12&lt;&gt;0,  IF(O11="NO", "NO", "YES"), IF(L18&lt;&gt;0, IF(AND(O11="NO", O12="NO"), "NO", "YES"), IF(L19&lt;&gt;0, IF(AND(O11="NO", O12="NO", O18="NO"), "NO", "YES"), IF(AND(O11="NO", O12="NO", O18="NO", O19="NO"), "NO", "YES"))))))</f>
        <v>NO</v>
      </c>
      <c r="Q11" s="25">
        <f t="shared" si="11"/>
        <v>0</v>
      </c>
      <c r="R11" s="25">
        <f t="shared" si="4"/>
        <v>0</v>
      </c>
      <c r="S11" s="25">
        <f t="shared" si="5"/>
        <v>0</v>
      </c>
      <c r="T11" s="12" t="s">
        <v>7</v>
      </c>
      <c r="U11" s="12" t="s">
        <v>35</v>
      </c>
      <c r="V11" s="25">
        <f t="shared" si="6"/>
        <v>0</v>
      </c>
      <c r="W11" s="10">
        <f t="shared" si="12"/>
        <v>0</v>
      </c>
      <c r="Y11" s="1">
        <f t="shared" si="7"/>
        <v>1</v>
      </c>
    </row>
    <row r="12" spans="1:25" ht="15.75" outlineLevel="1" thickBot="1" x14ac:dyDescent="0.3">
      <c r="A12" s="12" t="s">
        <v>5</v>
      </c>
      <c r="B12" s="16"/>
      <c r="C12" s="30">
        <v>0</v>
      </c>
      <c r="D12" s="11">
        <v>10</v>
      </c>
      <c r="E12" s="11">
        <f t="shared" si="8"/>
        <v>10</v>
      </c>
      <c r="F12" s="11">
        <f t="shared" si="0"/>
        <v>0</v>
      </c>
      <c r="G12" s="2">
        <f>VLOOKUP('930-4'!D12,Table1[],2,0)</f>
        <v>10.75</v>
      </c>
      <c r="H12" s="13">
        <f t="shared" si="9"/>
        <v>85.737700000000004</v>
      </c>
      <c r="I12" s="2">
        <f t="shared" si="10"/>
        <v>86</v>
      </c>
      <c r="J12" s="12">
        <v>65</v>
      </c>
      <c r="K12" s="12">
        <v>85</v>
      </c>
      <c r="L12" s="16" t="s">
        <v>13</v>
      </c>
      <c r="M12" s="14">
        <f t="shared" si="1"/>
        <v>0</v>
      </c>
      <c r="N12" s="15">
        <f t="shared" si="2"/>
        <v>0</v>
      </c>
      <c r="O12" s="15" t="str">
        <f t="shared" si="3"/>
        <v>NO</v>
      </c>
      <c r="P12" s="25" t="str">
        <f>IF(L12&lt;&gt;0, IF(L12="Gap", O12, IF(L18&lt;&gt;0,  IF(O12="NO", "NO", "YES"), IF(L19&lt;&gt;0, IF(AND(O12="NO", O18="NO"), "NO", "YES"), IF(L20&lt;&gt;0, IF(AND(O12="NO", O18="NO", O19="NO"), "NO", "YES"), IF(AND(O12="NO", O18="NO", O19="NO", O20="NO"), "NO", "YES"))))))</f>
        <v>NO</v>
      </c>
      <c r="Q12" s="25">
        <f t="shared" si="11"/>
        <v>0</v>
      </c>
      <c r="R12" s="25">
        <f t="shared" si="4"/>
        <v>0</v>
      </c>
      <c r="S12" s="25">
        <f t="shared" si="5"/>
        <v>0</v>
      </c>
      <c r="T12" s="12" t="s">
        <v>7</v>
      </c>
      <c r="U12" s="12" t="s">
        <v>35</v>
      </c>
      <c r="V12" s="25">
        <f t="shared" si="6"/>
        <v>0</v>
      </c>
      <c r="W12" s="10">
        <f t="shared" si="12"/>
        <v>0</v>
      </c>
      <c r="Y12" s="1">
        <f t="shared" si="7"/>
        <v>1</v>
      </c>
    </row>
    <row r="13" spans="1:25" ht="15.75" outlineLevel="1" thickBot="1" x14ac:dyDescent="0.3">
      <c r="A13" s="12" t="s">
        <v>5</v>
      </c>
      <c r="B13" s="32"/>
      <c r="C13" s="30">
        <v>0</v>
      </c>
      <c r="D13" s="11">
        <v>10</v>
      </c>
      <c r="E13" s="11">
        <f t="shared" si="8"/>
        <v>10</v>
      </c>
      <c r="F13" s="11">
        <f t="shared" si="0"/>
        <v>0</v>
      </c>
      <c r="G13" s="2">
        <f>VLOOKUP('930-4'!D13,Table1[],2,0)</f>
        <v>10.75</v>
      </c>
      <c r="H13" s="13">
        <f t="shared" si="9"/>
        <v>85.737700000000004</v>
      </c>
      <c r="I13" s="2">
        <f t="shared" si="10"/>
        <v>86</v>
      </c>
      <c r="J13" s="12">
        <v>40</v>
      </c>
      <c r="K13" s="12">
        <v>125</v>
      </c>
      <c r="L13" s="16" t="s">
        <v>13</v>
      </c>
      <c r="M13" s="14">
        <f t="shared" si="1"/>
        <v>0</v>
      </c>
      <c r="N13" s="15">
        <f t="shared" si="2"/>
        <v>0</v>
      </c>
      <c r="O13" s="15" t="str">
        <f t="shared" si="3"/>
        <v>NO</v>
      </c>
      <c r="P13" s="25" t="str">
        <f>IF(L13&lt;&gt;0, IF(L13="Gap", O13, IF(L14&lt;&gt;0,  IF(O13="NO", "NO", "YES"), IF(L15&lt;&gt;0, IF(AND(O13="NO", O14="NO"), "NO", "YES"), IF(L16&lt;&gt;0, IF(AND(O13="NO", O14="NO", O15="NO"), "NO", "YES"), IF(AND(O13="NO", O14="NO", O15="NO", O16="NO"), "NO", "YES"))))))</f>
        <v>NO</v>
      </c>
      <c r="Q13" s="25">
        <f t="shared" si="11"/>
        <v>0</v>
      </c>
      <c r="R13" s="25">
        <f t="shared" si="4"/>
        <v>0</v>
      </c>
      <c r="S13" s="25">
        <f t="shared" si="5"/>
        <v>0</v>
      </c>
      <c r="T13" s="12" t="s">
        <v>7</v>
      </c>
      <c r="U13" s="12" t="s">
        <v>35</v>
      </c>
      <c r="V13" s="25">
        <f t="shared" si="6"/>
        <v>0</v>
      </c>
      <c r="W13" s="10">
        <f t="shared" si="12"/>
        <v>0</v>
      </c>
      <c r="Y13" s="1">
        <f t="shared" si="7"/>
        <v>1</v>
      </c>
    </row>
    <row r="14" spans="1:25" ht="15.75" outlineLevel="1" thickBot="1" x14ac:dyDescent="0.3">
      <c r="A14" s="12" t="s">
        <v>5</v>
      </c>
      <c r="B14" s="16"/>
      <c r="C14" s="30">
        <v>0</v>
      </c>
      <c r="D14" s="11">
        <v>6</v>
      </c>
      <c r="E14" s="11">
        <f t="shared" si="8"/>
        <v>6</v>
      </c>
      <c r="F14" s="11">
        <f t="shared" si="0"/>
        <v>6</v>
      </c>
      <c r="G14" s="2">
        <f>VLOOKUP('930-4'!D14,Table1[],2,0)</f>
        <v>6.625</v>
      </c>
      <c r="H14" s="13">
        <f t="shared" si="9"/>
        <v>52.838350000000005</v>
      </c>
      <c r="I14" s="2">
        <f t="shared" si="10"/>
        <v>53</v>
      </c>
      <c r="J14" s="12">
        <v>40</v>
      </c>
      <c r="K14" s="12">
        <v>125</v>
      </c>
      <c r="L14" s="16" t="s">
        <v>34</v>
      </c>
      <c r="M14" s="14">
        <f t="shared" si="1"/>
        <v>0</v>
      </c>
      <c r="N14" s="15">
        <f t="shared" si="2"/>
        <v>0</v>
      </c>
      <c r="O14" s="15" t="str">
        <f t="shared" si="3"/>
        <v>NO</v>
      </c>
      <c r="P14" s="25" t="str">
        <f>IF(L14&lt;&gt;0, IF(L14="Gap", O14, IF(L15&lt;&gt;0,  IF(O14="NO", "NO", "YES"), IF(L16&lt;&gt;0, IF(AND(O14="NO", O15="NO"), "NO", "YES"), IF(L18&lt;&gt;0, IF(AND(O14="NO", O15="NO", O16="NO"), "NO", "YES"), IF(AND(O14="NO", O15="NO", O16="NO", O18="NO"), "NO", "YES"))))))</f>
        <v>NO</v>
      </c>
      <c r="Q14" s="25">
        <f t="shared" si="11"/>
        <v>0</v>
      </c>
      <c r="R14" s="25">
        <f t="shared" si="4"/>
        <v>0</v>
      </c>
      <c r="S14" s="25">
        <f t="shared" si="5"/>
        <v>0</v>
      </c>
      <c r="T14" s="12" t="s">
        <v>7</v>
      </c>
      <c r="U14" s="12" t="s">
        <v>35</v>
      </c>
      <c r="V14" s="25">
        <f t="shared" si="6"/>
        <v>0</v>
      </c>
      <c r="W14" s="10">
        <f t="shared" si="12"/>
        <v>0</v>
      </c>
      <c r="Y14" s="1">
        <f t="shared" si="7"/>
        <v>1</v>
      </c>
    </row>
    <row r="15" spans="1:25" ht="15.75" outlineLevel="1" thickBot="1" x14ac:dyDescent="0.3">
      <c r="A15" s="12" t="s">
        <v>5</v>
      </c>
      <c r="B15" s="16"/>
      <c r="C15" s="30">
        <v>0</v>
      </c>
      <c r="D15" s="11">
        <v>18</v>
      </c>
      <c r="E15" s="11">
        <f t="shared" si="8"/>
        <v>18</v>
      </c>
      <c r="F15" s="11">
        <f t="shared" si="0"/>
        <v>18</v>
      </c>
      <c r="G15" s="2">
        <f>VLOOKUP('930-4'!D15,Table1[],2,0)</f>
        <v>18</v>
      </c>
      <c r="H15" s="13">
        <f t="shared" si="9"/>
        <v>143.5608</v>
      </c>
      <c r="I15" s="2">
        <f t="shared" si="10"/>
        <v>144</v>
      </c>
      <c r="J15" s="12">
        <v>40</v>
      </c>
      <c r="K15" s="12">
        <v>45</v>
      </c>
      <c r="L15" s="34" t="s">
        <v>34</v>
      </c>
      <c r="M15" s="14">
        <f t="shared" si="1"/>
        <v>0</v>
      </c>
      <c r="N15" s="15">
        <f t="shared" si="2"/>
        <v>0</v>
      </c>
      <c r="O15" s="15" t="str">
        <f t="shared" si="3"/>
        <v>NO</v>
      </c>
      <c r="P15" s="25" t="str">
        <f>IF(L15&lt;&gt;0, IF(L15="Gap", O15, IF(L16&lt;&gt;0,  IF(O15="NO", "NO", "YES"), IF(L18&lt;&gt;0, IF(AND(O15="NO", O16="NO"), "NO", "YES"), IF(L19&lt;&gt;0, IF(AND(O15="NO", O16="NO", O18="NO"), "NO", "YES"), IF(AND(O15="NO", O16="NO", O18="NO", O19="NO"), "NO", "YES"))))))</f>
        <v>NO</v>
      </c>
      <c r="Q15" s="25">
        <f t="shared" si="11"/>
        <v>0</v>
      </c>
      <c r="R15" s="25">
        <f t="shared" si="4"/>
        <v>0</v>
      </c>
      <c r="S15" s="25">
        <f t="shared" si="5"/>
        <v>0</v>
      </c>
      <c r="T15" s="12" t="s">
        <v>7</v>
      </c>
      <c r="U15" s="12" t="s">
        <v>35</v>
      </c>
      <c r="V15" s="25">
        <f t="shared" si="6"/>
        <v>0</v>
      </c>
      <c r="W15" s="10">
        <f t="shared" si="12"/>
        <v>0</v>
      </c>
      <c r="Y15" s="1">
        <f t="shared" si="7"/>
        <v>1</v>
      </c>
    </row>
    <row r="16" spans="1:25" ht="15.75" outlineLevel="1" thickBot="1" x14ac:dyDescent="0.3">
      <c r="A16" s="16" t="s">
        <v>5</v>
      </c>
      <c r="B16" s="16"/>
      <c r="C16" s="30">
        <v>0</v>
      </c>
      <c r="D16" s="17">
        <v>18</v>
      </c>
      <c r="E16" s="11">
        <f t="shared" si="8"/>
        <v>18</v>
      </c>
      <c r="F16" s="11">
        <f t="shared" si="0"/>
        <v>18</v>
      </c>
      <c r="G16" s="2">
        <f>VLOOKUP('930-4'!D16,Table1[],2,0)</f>
        <v>18</v>
      </c>
      <c r="H16" s="19">
        <f t="shared" si="9"/>
        <v>143.5608</v>
      </c>
      <c r="I16" s="18">
        <f t="shared" si="10"/>
        <v>144</v>
      </c>
      <c r="J16" s="12">
        <v>40</v>
      </c>
      <c r="K16" s="12">
        <v>10</v>
      </c>
      <c r="L16" s="35"/>
      <c r="M16" s="14">
        <f t="shared" si="1"/>
        <v>0</v>
      </c>
      <c r="N16" s="15">
        <f t="shared" si="2"/>
        <v>0</v>
      </c>
      <c r="O16" s="15" t="str">
        <f t="shared" si="3"/>
        <v>NO</v>
      </c>
      <c r="P16" s="25" t="b">
        <f>IF(L16&lt;&gt;0, IF(L16="Gap", O16, IF(L18&lt;&gt;0,  IF(O16="NO", "NO", "YES"), IF(L19&lt;&gt;0, IF(AND(O16="NO", O18="NO"), "NO", "YES"), IF(L20&lt;&gt;0, IF(AND(O16="NO", O18="NO", O19="NO"), "NO", "YES"), IF(AND(O16="NO", O18="NO", O19="NO", O20="NO"), "NO", "YES"))))))</f>
        <v>0</v>
      </c>
      <c r="Q16" s="25">
        <f t="shared" si="11"/>
        <v>0</v>
      </c>
      <c r="R16" s="25">
        <f t="shared" si="4"/>
        <v>0</v>
      </c>
      <c r="S16" s="25">
        <f t="shared" si="5"/>
        <v>0</v>
      </c>
      <c r="T16" s="12" t="s">
        <v>7</v>
      </c>
      <c r="U16" s="12" t="s">
        <v>35</v>
      </c>
      <c r="V16" s="25">
        <f t="shared" si="6"/>
        <v>0</v>
      </c>
      <c r="W16" s="10">
        <f t="shared" si="12"/>
        <v>0</v>
      </c>
      <c r="Y16" s="1">
        <f t="shared" si="7"/>
        <v>1</v>
      </c>
    </row>
    <row r="17" spans="1:25" ht="15.75" outlineLevel="1" thickBot="1" x14ac:dyDescent="0.3">
      <c r="A17" s="12" t="s">
        <v>5</v>
      </c>
      <c r="B17" s="16"/>
      <c r="C17" s="30">
        <v>0</v>
      </c>
      <c r="D17" s="11">
        <v>10</v>
      </c>
      <c r="E17" s="11">
        <f t="shared" si="8"/>
        <v>10</v>
      </c>
      <c r="F17" s="11">
        <f t="shared" si="0"/>
        <v>0</v>
      </c>
      <c r="G17" s="2">
        <f>VLOOKUP('930-4'!D17,Table1[],2,0)</f>
        <v>10.75</v>
      </c>
      <c r="H17" s="13">
        <f t="shared" si="9"/>
        <v>85.737700000000004</v>
      </c>
      <c r="I17" s="2">
        <f t="shared" si="10"/>
        <v>86</v>
      </c>
      <c r="J17" s="12">
        <v>40</v>
      </c>
      <c r="K17" s="12">
        <v>35</v>
      </c>
      <c r="L17" s="16" t="s">
        <v>13</v>
      </c>
      <c r="M17" s="14">
        <f t="shared" si="1"/>
        <v>0</v>
      </c>
      <c r="N17" s="15">
        <f t="shared" si="2"/>
        <v>0</v>
      </c>
      <c r="O17" s="15" t="str">
        <f t="shared" si="3"/>
        <v>NO</v>
      </c>
      <c r="P17" s="25" t="str">
        <f>IF(L17&lt;&gt;0, IF(L17="Gap", O17, IF(L23&lt;&gt;0,  IF(O17="NO", "NO", "YES"), IF(L24&lt;&gt;0, IF(AND(O17="NO", O23="NO"), "NO", "YES"), IF(L25&lt;&gt;0, IF(AND(O17="NO", O23="NO", O24="NO"), "NO", "YES"), IF(AND(O17="NO", O23="NO", O24="NO", O25="NO"), "NO", "YES"))))))</f>
        <v>NO</v>
      </c>
      <c r="Q17" s="25">
        <f t="shared" si="11"/>
        <v>0</v>
      </c>
      <c r="R17" s="25">
        <f t="shared" si="4"/>
        <v>0</v>
      </c>
      <c r="S17" s="25">
        <f t="shared" si="5"/>
        <v>0</v>
      </c>
      <c r="T17" s="12" t="s">
        <v>7</v>
      </c>
      <c r="U17" s="12" t="s">
        <v>35</v>
      </c>
      <c r="V17" s="25">
        <f t="shared" si="6"/>
        <v>0</v>
      </c>
      <c r="W17" s="10">
        <f t="shared" si="12"/>
        <v>0</v>
      </c>
      <c r="Y17" s="1">
        <f t="shared" si="7"/>
        <v>1</v>
      </c>
    </row>
    <row r="18" spans="1:25" ht="15.75" outlineLevel="1" thickBot="1" x14ac:dyDescent="0.3">
      <c r="A18" s="12" t="s">
        <v>5</v>
      </c>
      <c r="B18" s="32"/>
      <c r="C18" s="30">
        <v>0</v>
      </c>
      <c r="D18" s="11">
        <v>10</v>
      </c>
      <c r="E18" s="11">
        <f t="shared" si="8"/>
        <v>10</v>
      </c>
      <c r="F18" s="11">
        <f t="shared" si="0"/>
        <v>10</v>
      </c>
      <c r="G18" s="2">
        <f>VLOOKUP('930-4'!D18,Table1[],2,0)</f>
        <v>10.75</v>
      </c>
      <c r="H18" s="13">
        <f t="shared" si="9"/>
        <v>85.737700000000004</v>
      </c>
      <c r="I18" s="2">
        <f t="shared" si="10"/>
        <v>86</v>
      </c>
      <c r="J18" s="12">
        <v>40</v>
      </c>
      <c r="K18" s="12">
        <v>50</v>
      </c>
      <c r="L18" s="34" t="s">
        <v>34</v>
      </c>
      <c r="M18" s="14">
        <f t="shared" si="1"/>
        <v>0</v>
      </c>
      <c r="N18" s="15">
        <f t="shared" si="2"/>
        <v>0</v>
      </c>
      <c r="O18" s="15" t="str">
        <f t="shared" si="3"/>
        <v>NO</v>
      </c>
      <c r="P18" s="25" t="str">
        <f>IF(L18&lt;&gt;0, IF(L18="Gap", O18, IF(L19&lt;&gt;0,  IF(O18="NO", "NO", "YES"), IF(L20&lt;&gt;0, IF(AND(O18="NO", O19="NO"), "NO", "YES"), IF(L21&lt;&gt;0, IF(AND(O18="NO", O19="NO", O20="NO"), "NO", "YES"), IF(AND(O18="NO", O19="NO", O20="NO", O21="NO"), "NO", "YES"))))))</f>
        <v>NO</v>
      </c>
      <c r="Q18" s="25">
        <f t="shared" si="11"/>
        <v>0</v>
      </c>
      <c r="R18" s="25">
        <f t="shared" si="4"/>
        <v>0</v>
      </c>
      <c r="S18" s="25">
        <f t="shared" si="5"/>
        <v>0</v>
      </c>
      <c r="T18" s="12" t="s">
        <v>7</v>
      </c>
      <c r="U18" s="12" t="s">
        <v>35</v>
      </c>
      <c r="V18" s="25">
        <f t="shared" si="6"/>
        <v>0</v>
      </c>
      <c r="W18" s="10">
        <f t="shared" si="12"/>
        <v>0</v>
      </c>
      <c r="Y18" s="1">
        <f t="shared" si="7"/>
        <v>1</v>
      </c>
    </row>
    <row r="19" spans="1:25" ht="15.75" outlineLevel="1" thickBot="1" x14ac:dyDescent="0.3">
      <c r="A19" s="12" t="s">
        <v>5</v>
      </c>
      <c r="B19" s="16"/>
      <c r="C19" s="30">
        <v>0</v>
      </c>
      <c r="D19" s="11">
        <v>10</v>
      </c>
      <c r="E19" s="11">
        <f t="shared" si="8"/>
        <v>10</v>
      </c>
      <c r="F19" s="11">
        <f t="shared" si="0"/>
        <v>10</v>
      </c>
      <c r="G19" s="2">
        <f>VLOOKUP('930-4'!D19,Table1[],2,0)</f>
        <v>10.75</v>
      </c>
      <c r="H19" s="13">
        <f t="shared" si="9"/>
        <v>85.737700000000004</v>
      </c>
      <c r="I19" s="2">
        <f t="shared" si="10"/>
        <v>86</v>
      </c>
      <c r="J19" s="12">
        <v>40</v>
      </c>
      <c r="K19" s="12">
        <v>80</v>
      </c>
      <c r="L19" s="35"/>
      <c r="M19" s="14">
        <f t="shared" si="1"/>
        <v>0</v>
      </c>
      <c r="N19" s="15">
        <f t="shared" si="2"/>
        <v>0</v>
      </c>
      <c r="O19" s="15" t="str">
        <f t="shared" si="3"/>
        <v>NO</v>
      </c>
      <c r="P19" s="25" t="b">
        <f>IF(L19&lt;&gt;0, IF(L19="Gap", O19, IF(L20&lt;&gt;0,  IF(O19="NO", "NO", "YES"), IF(L21&lt;&gt;0, IF(AND(O19="NO", O20="NO"), "NO", "YES"), IF(L23&lt;&gt;0, IF(AND(O19="NO", O20="NO", O21="NO"), "NO", "YES"), IF(AND(O19="NO", O20="NO", O21="NO", O23="NO"), "NO", "YES"))))))</f>
        <v>0</v>
      </c>
      <c r="Q19" s="25">
        <f t="shared" si="11"/>
        <v>0</v>
      </c>
      <c r="R19" s="25">
        <f t="shared" si="4"/>
        <v>0</v>
      </c>
      <c r="S19" s="25">
        <f t="shared" si="5"/>
        <v>0</v>
      </c>
      <c r="T19" s="12" t="s">
        <v>7</v>
      </c>
      <c r="U19" s="12" t="s">
        <v>35</v>
      </c>
      <c r="V19" s="25">
        <f t="shared" si="6"/>
        <v>0</v>
      </c>
      <c r="W19" s="10">
        <f t="shared" si="12"/>
        <v>0</v>
      </c>
      <c r="Y19" s="1">
        <f t="shared" si="7"/>
        <v>1</v>
      </c>
    </row>
    <row r="20" spans="1:25" ht="15.75" outlineLevel="1" thickBot="1" x14ac:dyDescent="0.3">
      <c r="A20" s="12" t="s">
        <v>5</v>
      </c>
      <c r="B20" s="16"/>
      <c r="C20" s="30">
        <v>0</v>
      </c>
      <c r="D20" s="11">
        <v>10</v>
      </c>
      <c r="E20" s="11">
        <f t="shared" si="8"/>
        <v>10</v>
      </c>
      <c r="F20" s="11">
        <f t="shared" si="0"/>
        <v>10</v>
      </c>
      <c r="G20" s="2">
        <f>VLOOKUP('930-4'!D20,Table1[],2,0)</f>
        <v>10.75</v>
      </c>
      <c r="H20" s="13">
        <f t="shared" si="9"/>
        <v>85.737700000000004</v>
      </c>
      <c r="I20" s="2">
        <f t="shared" si="10"/>
        <v>86</v>
      </c>
      <c r="J20" s="12">
        <v>40</v>
      </c>
      <c r="K20" s="12">
        <v>55</v>
      </c>
      <c r="L20" s="34" t="s">
        <v>34</v>
      </c>
      <c r="M20" s="14">
        <f t="shared" si="1"/>
        <v>0</v>
      </c>
      <c r="N20" s="15">
        <f t="shared" si="2"/>
        <v>0</v>
      </c>
      <c r="O20" s="15" t="str">
        <f t="shared" si="3"/>
        <v>NO</v>
      </c>
      <c r="P20" s="25" t="str">
        <f>IF(L20&lt;&gt;0, IF(L20="Gap", O20, IF(L21&lt;&gt;0,  IF(O20="NO", "NO", "YES"), IF(L23&lt;&gt;0, IF(AND(O20="NO", O21="NO"), "NO", "YES"), IF(L24&lt;&gt;0, IF(AND(O20="NO", O21="NO", O23="NO"), "NO", "YES"), IF(AND(O20="NO", O21="NO", O23="NO", O24="NO"), "NO", "YES"))))))</f>
        <v>NO</v>
      </c>
      <c r="Q20" s="25">
        <f t="shared" si="11"/>
        <v>0</v>
      </c>
      <c r="R20" s="25">
        <f t="shared" si="4"/>
        <v>0</v>
      </c>
      <c r="S20" s="25">
        <f t="shared" si="5"/>
        <v>0</v>
      </c>
      <c r="T20" s="12" t="s">
        <v>7</v>
      </c>
      <c r="U20" s="12" t="s">
        <v>35</v>
      </c>
      <c r="V20" s="25">
        <f t="shared" si="6"/>
        <v>0</v>
      </c>
      <c r="W20" s="10">
        <f t="shared" si="12"/>
        <v>0</v>
      </c>
      <c r="Y20" s="1">
        <f t="shared" si="7"/>
        <v>1</v>
      </c>
    </row>
    <row r="21" spans="1:25" ht="15.75" outlineLevel="1" thickBot="1" x14ac:dyDescent="0.3">
      <c r="A21" s="16" t="s">
        <v>5</v>
      </c>
      <c r="B21" s="16"/>
      <c r="C21" s="30">
        <v>0</v>
      </c>
      <c r="D21" s="17">
        <v>10</v>
      </c>
      <c r="E21" s="11">
        <f t="shared" si="8"/>
        <v>10</v>
      </c>
      <c r="F21" s="11">
        <f t="shared" si="0"/>
        <v>10</v>
      </c>
      <c r="G21" s="2">
        <f>VLOOKUP('930-4'!D21,Table1[],2,0)</f>
        <v>10.75</v>
      </c>
      <c r="H21" s="19">
        <f t="shared" si="9"/>
        <v>85.737700000000004</v>
      </c>
      <c r="I21" s="18">
        <f t="shared" si="10"/>
        <v>86</v>
      </c>
      <c r="J21" s="12">
        <v>40</v>
      </c>
      <c r="K21" s="12">
        <v>75</v>
      </c>
      <c r="L21" s="35"/>
      <c r="M21" s="14">
        <f t="shared" si="1"/>
        <v>0</v>
      </c>
      <c r="N21" s="15">
        <f t="shared" si="2"/>
        <v>0</v>
      </c>
      <c r="O21" s="15" t="str">
        <f t="shared" si="3"/>
        <v>NO</v>
      </c>
      <c r="P21" s="25" t="b">
        <f>IF(L21&lt;&gt;0, IF(L21="Gap", O21, IF(L23&lt;&gt;0,  IF(O21="NO", "NO", "YES"), IF(L24&lt;&gt;0, IF(AND(O21="NO", O23="NO"), "NO", "YES"), IF(L25&lt;&gt;0, IF(AND(O21="NO", O23="NO", O24="NO"), "NO", "YES"), IF(AND(O21="NO", O23="NO", O24="NO", O25="NO"), "NO", "YES"))))))</f>
        <v>0</v>
      </c>
      <c r="Q21" s="25">
        <f>IF(L21=0,0,IF(L22&lt;&gt;0,N21,IF(L23&lt;&gt;0,N21+N22,IF(L24&lt;&gt;0,N21+N22+N23,IF(L25&lt;&gt;0,N21+N22+N23+N24,IF(#REF!&lt;&gt;0,N21+N22+N23+N24+N25,N21+N22+N23+N24+N25+#REF!))))))</f>
        <v>0</v>
      </c>
      <c r="R21" s="25">
        <f t="shared" si="4"/>
        <v>0</v>
      </c>
      <c r="S21" s="25">
        <f>IF(L21=0, 0, IF(L22&lt;&gt;0, R21, IF(L23&lt;&gt;0, R21+R22, IF(L24&lt;&gt;0, R21+R22+R23, IF(L25&lt;&gt;0, R21+R22+R23+R24, IF(#REF!&lt;&gt;0, R21+R22+R23+R24+R25, R21+R22+R23+R24+R25+#REF!))))))</f>
        <v>0</v>
      </c>
      <c r="T21" s="12" t="s">
        <v>7</v>
      </c>
      <c r="U21" s="12" t="s">
        <v>35</v>
      </c>
      <c r="V21" s="25">
        <f t="shared" si="6"/>
        <v>0</v>
      </c>
      <c r="W21" s="10">
        <f t="shared" si="12"/>
        <v>0</v>
      </c>
      <c r="Y21" s="1">
        <f t="shared" si="7"/>
        <v>1</v>
      </c>
    </row>
    <row r="22" spans="1:25" ht="15.75" outlineLevel="1" thickBot="1" x14ac:dyDescent="0.3">
      <c r="A22" s="16"/>
      <c r="B22" s="16"/>
      <c r="C22" s="30">
        <v>0</v>
      </c>
      <c r="D22" s="17">
        <v>10</v>
      </c>
      <c r="E22" s="11">
        <f t="shared" si="8"/>
        <v>10</v>
      </c>
      <c r="F22" s="11">
        <f t="shared" si="0"/>
        <v>0</v>
      </c>
      <c r="G22" s="2">
        <f>VLOOKUP('930-4'!D22,Table1[],2,0)</f>
        <v>10.75</v>
      </c>
      <c r="H22" s="19">
        <f t="shared" si="9"/>
        <v>85.737700000000004</v>
      </c>
      <c r="I22" s="18">
        <f t="shared" si="10"/>
        <v>86</v>
      </c>
      <c r="J22" s="12">
        <v>40</v>
      </c>
      <c r="K22" s="12">
        <v>45</v>
      </c>
      <c r="L22" s="16" t="s">
        <v>13</v>
      </c>
      <c r="M22" s="14">
        <f t="shared" si="1"/>
        <v>0</v>
      </c>
      <c r="N22" s="15">
        <f t="shared" si="2"/>
        <v>0</v>
      </c>
      <c r="O22" s="15" t="str">
        <f t="shared" si="3"/>
        <v>NO</v>
      </c>
      <c r="P22" s="25" t="str">
        <f>IF(L22&lt;&gt;0, IF(L22="Gap", O22, IF(L23&lt;&gt;0,  IF(O22="NO", "NO", "YES"), IF(L24&lt;&gt;0, IF(AND(O22="NO", O23="NO"), "NO", "YES"), IF(L25&lt;&gt;0, IF(AND(O22="NO", O23="NO", O24="NO"), "NO", "YES"), IF(AND(O22="NO", O23="NO", O24="NO", O25="NO"), "NO", "YES"))))))</f>
        <v>NO</v>
      </c>
      <c r="Q22" s="25">
        <f>IF(L22=0,0,IF(L23&lt;&gt;0,N22,IF(L24&lt;&gt;0,N22+N23,IF(L25&lt;&gt;0,N22+N23+N24,IF(#REF!&lt;&gt;0,N22+N23+N24+N25,IF(#REF!&lt;&gt;0,N22+N23+N24+N25+#REF!,N22+N23+N24+N25+#REF!+#REF!))))))</f>
        <v>0</v>
      </c>
      <c r="R22" s="25">
        <f t="shared" si="4"/>
        <v>0</v>
      </c>
      <c r="S22" s="25">
        <f>IF(L22=0, 0, IF(L23&lt;&gt;0, R22, IF(L24&lt;&gt;0, R22+R23, IF(L25&lt;&gt;0, R22+R23+R24, IF(#REF!&lt;&gt;0, R22+R23+R24+R25, IF(#REF!&lt;&gt;0, R22+R23+R24+R25+#REF!, R22+R23+R24+R25+#REF!+#REF!))))))</f>
        <v>0</v>
      </c>
      <c r="T22" s="12" t="s">
        <v>7</v>
      </c>
      <c r="U22" s="12" t="s">
        <v>35</v>
      </c>
      <c r="V22" s="25">
        <f t="shared" si="6"/>
        <v>0</v>
      </c>
      <c r="W22" s="10">
        <f t="shared" si="12"/>
        <v>0</v>
      </c>
      <c r="Y22" s="1">
        <f>IF(L22="FULL",IF(L23=0,IF(L24=0,IF(L25=0,IF(#REF!=0,5,4),3),2),1),IF(L22=0,Y21,1))</f>
        <v>1</v>
      </c>
    </row>
    <row r="23" spans="1:25" outlineLevel="1" x14ac:dyDescent="0.25">
      <c r="A23" s="16"/>
      <c r="B23" s="16"/>
      <c r="C23" s="30">
        <v>0</v>
      </c>
      <c r="D23" s="17">
        <v>2</v>
      </c>
      <c r="E23" s="11">
        <f t="shared" si="8"/>
        <v>2</v>
      </c>
      <c r="F23" s="11">
        <f t="shared" si="0"/>
        <v>0</v>
      </c>
      <c r="G23" s="2">
        <f>VLOOKUP('930-4'!D23,Table1[],2,0)</f>
        <v>2.375</v>
      </c>
      <c r="H23" s="19">
        <f t="shared" si="9"/>
        <v>18.942050000000002</v>
      </c>
      <c r="I23" s="18">
        <f t="shared" si="10"/>
        <v>19</v>
      </c>
      <c r="J23" s="12">
        <v>40</v>
      </c>
      <c r="K23" s="12">
        <v>45</v>
      </c>
      <c r="L23" s="16" t="s">
        <v>13</v>
      </c>
      <c r="M23" s="14">
        <f t="shared" si="1"/>
        <v>0</v>
      </c>
      <c r="N23" s="15">
        <f t="shared" si="2"/>
        <v>0</v>
      </c>
      <c r="O23" s="15" t="str">
        <f t="shared" si="3"/>
        <v>NO</v>
      </c>
      <c r="P23" s="25" t="str">
        <f>IF(L23&lt;&gt;0, IF(L23="Gap", O23, IF(L24&lt;&gt;0,  IF(O23="NO", "NO", "YES"), IF(L25&lt;&gt;0, IF(AND(O23="NO", O24="NO"), "NO", "YES"), IF(#REF!&lt;&gt;0, IF(AND(O23="NO", O24="NO", O25="NO"), "NO", "YES"), IF(AND(O23="NO", O24="NO", O25="NO",#REF!= "NO"), "NO", "YES"))))))</f>
        <v>NO</v>
      </c>
      <c r="Q23" s="25">
        <f>IF(L23=0,0,IF(L24&lt;&gt;0,N23,IF(L25&lt;&gt;0,N23+N24,IF(#REF!&lt;&gt;0,N23+N24+N25,IF(#REF!&lt;&gt;0,N23+N24+N25+#REF!,IF(#REF!&lt;&gt;0,N23+N24+N25+#REF!+#REF!,N23+N24+N25+#REF!+#REF!+#REF!))))))</f>
        <v>0</v>
      </c>
      <c r="R23" s="25">
        <f t="shared" si="4"/>
        <v>0</v>
      </c>
      <c r="S23" s="25">
        <f>IF(L23=0, 0, IF(L24&lt;&gt;0, R23, IF(L25&lt;&gt;0, R23+R24, IF(#REF!&lt;&gt;0, R23+R24+R25, IF(#REF!&lt;&gt;0, R23+R24+R25+#REF!, IF(#REF!&lt;&gt;0, R23+R24+R25+#REF!+#REF!, R23+R24+R25+#REF!+#REF!+#REF!))))))</f>
        <v>0</v>
      </c>
      <c r="T23" s="12" t="s">
        <v>7</v>
      </c>
      <c r="U23" s="12" t="s">
        <v>35</v>
      </c>
      <c r="V23" s="25">
        <f t="shared" si="6"/>
        <v>0</v>
      </c>
      <c r="W23" s="10">
        <f t="shared" si="12"/>
        <v>0</v>
      </c>
      <c r="Y23" s="1">
        <f>IF(L23="FULL",IF(L24=0,IF(L25=0,IF(#REF!=0,IF(#REF!=0,5,4),3),2),1),IF(L23=0,Y22,1))</f>
        <v>1</v>
      </c>
    </row>
    <row r="24" spans="1:25" ht="15" customHeight="1" outlineLevel="1" x14ac:dyDescent="0.25">
      <c r="A24" s="29" t="s">
        <v>20</v>
      </c>
      <c r="B24" s="29" t="s">
        <v>20</v>
      </c>
      <c r="C24" s="29" t="s">
        <v>20</v>
      </c>
      <c r="D24" s="29" t="s">
        <v>20</v>
      </c>
      <c r="E24" s="29" t="s">
        <v>20</v>
      </c>
      <c r="F24" s="29"/>
      <c r="G24" s="29" t="s">
        <v>20</v>
      </c>
      <c r="H24" s="29" t="s">
        <v>20</v>
      </c>
      <c r="I24" s="29" t="s">
        <v>20</v>
      </c>
      <c r="J24" s="29" t="s">
        <v>20</v>
      </c>
      <c r="K24" s="29" t="s">
        <v>20</v>
      </c>
      <c r="L24" s="29" t="s">
        <v>20</v>
      </c>
      <c r="M24" s="29" t="s">
        <v>20</v>
      </c>
      <c r="N24" s="29" t="s">
        <v>20</v>
      </c>
      <c r="O24" s="29" t="s">
        <v>20</v>
      </c>
      <c r="P24" s="29" t="s">
        <v>20</v>
      </c>
      <c r="Q24" s="29" t="s">
        <v>20</v>
      </c>
      <c r="R24" s="29" t="s">
        <v>20</v>
      </c>
      <c r="S24" s="29" t="s">
        <v>20</v>
      </c>
      <c r="T24" s="29" t="s">
        <v>20</v>
      </c>
      <c r="U24" s="29" t="s">
        <v>20</v>
      </c>
      <c r="V24" s="29" t="s">
        <v>20</v>
      </c>
      <c r="W24" s="29" t="s">
        <v>20</v>
      </c>
      <c r="Y24" s="1">
        <f>IF(L24="FULL",IF(L25=0,IF(#REF!=0,IF(#REF!=0,IF(#REF!=0,5,4),3),2),1),IF(L24=0,Y23,1))</f>
        <v>1</v>
      </c>
    </row>
    <row r="25" spans="1:25" ht="15.75" thickBo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21"/>
      <c r="N25" s="21"/>
      <c r="O25" s="21"/>
      <c r="P25" s="21"/>
      <c r="Q25" s="31">
        <f>SUM(Q8:Q23)</f>
        <v>30</v>
      </c>
      <c r="R25" s="31"/>
      <c r="S25" s="31">
        <f>SUM(R8:R23)</f>
        <v>30</v>
      </c>
      <c r="T25" s="31"/>
      <c r="U25" s="20"/>
      <c r="V25" s="21">
        <f>IF(COUNTIF(V8:V23,  "Segment Error")=0, IF(AND(SUM(V8:V23)&lt;50, COUNTIF(P8:P23, "YES")=0), 50, SUM(V8:V23)), "Segment Error")</f>
        <v>50</v>
      </c>
      <c r="W25" s="22">
        <f>V25*2400000</f>
        <v>120000000</v>
      </c>
      <c r="Y25" s="1">
        <f>IF(L25="FULL",IF(#REF!=0,IF(#REF!=0,IF(#REF!=0,IF(#REF!=0,5,4),3),2),1),IF(L25=0,Y24,1))</f>
        <v>1</v>
      </c>
    </row>
    <row r="26" spans="1:25" ht="27" customHeight="1" x14ac:dyDescent="0.25">
      <c r="A26" s="44" t="s">
        <v>39</v>
      </c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Y26" s="27" t="s">
        <v>17</v>
      </c>
    </row>
    <row r="27" spans="1:25" ht="15" hidden="1" customHeight="1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Y27" s="1">
        <v>1</v>
      </c>
    </row>
    <row r="28" spans="1:25" ht="15" hidden="1" customHeight="1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Y28" s="1">
        <v>1</v>
      </c>
    </row>
    <row r="29" spans="1:25" ht="15" hidden="1" customHeight="1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Y29" s="1">
        <v>1</v>
      </c>
    </row>
    <row r="30" spans="1:25" ht="15.75" thickBot="1" x14ac:dyDescent="0.3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Y30" s="1">
        <v>1</v>
      </c>
    </row>
    <row r="31" spans="1:25" ht="30" customHeight="1" x14ac:dyDescent="0.25">
      <c r="A31" s="37" t="s">
        <v>0</v>
      </c>
      <c r="B31" s="37" t="s">
        <v>8</v>
      </c>
      <c r="C31" s="39" t="s">
        <v>29</v>
      </c>
      <c r="D31" s="37" t="s">
        <v>28</v>
      </c>
      <c r="E31" s="37" t="s">
        <v>28</v>
      </c>
      <c r="F31" s="39" t="s">
        <v>33</v>
      </c>
      <c r="G31" s="39" t="s">
        <v>16</v>
      </c>
      <c r="H31" s="37" t="s">
        <v>9</v>
      </c>
      <c r="I31" s="39" t="s">
        <v>12</v>
      </c>
      <c r="J31" s="41" t="s">
        <v>1</v>
      </c>
      <c r="K31" s="41"/>
      <c r="L31" s="41"/>
      <c r="M31" s="37" t="s">
        <v>14</v>
      </c>
      <c r="N31" s="39" t="s">
        <v>18</v>
      </c>
      <c r="O31" s="39" t="s">
        <v>32</v>
      </c>
      <c r="P31" s="39" t="s">
        <v>21</v>
      </c>
      <c r="Q31" s="39" t="s">
        <v>30</v>
      </c>
      <c r="R31" s="39" t="s">
        <v>19</v>
      </c>
      <c r="S31" s="39" t="s">
        <v>25</v>
      </c>
      <c r="T31" s="41" t="s">
        <v>3</v>
      </c>
      <c r="U31" s="37" t="s">
        <v>4</v>
      </c>
      <c r="V31" s="37" t="s">
        <v>6</v>
      </c>
      <c r="W31" s="42" t="s">
        <v>15</v>
      </c>
      <c r="Y31" s="1">
        <v>1</v>
      </c>
    </row>
    <row r="32" spans="1:25" ht="30" customHeight="1" thickBot="1" x14ac:dyDescent="0.3">
      <c r="A32" s="38"/>
      <c r="B32" s="38"/>
      <c r="C32" s="40"/>
      <c r="D32" s="38"/>
      <c r="E32" s="38"/>
      <c r="F32" s="40"/>
      <c r="G32" s="40"/>
      <c r="H32" s="38"/>
      <c r="I32" s="40"/>
      <c r="J32" s="26" t="s">
        <v>26</v>
      </c>
      <c r="K32" s="26" t="s">
        <v>27</v>
      </c>
      <c r="L32" s="2" t="s">
        <v>2</v>
      </c>
      <c r="M32" s="38"/>
      <c r="N32" s="40"/>
      <c r="O32" s="40"/>
      <c r="P32" s="40"/>
      <c r="Q32" s="40"/>
      <c r="R32" s="40"/>
      <c r="S32" s="40"/>
      <c r="T32" s="46"/>
      <c r="U32" s="38"/>
      <c r="V32" s="38"/>
      <c r="W32" s="43"/>
      <c r="Y32" s="1">
        <v>1</v>
      </c>
    </row>
    <row r="33" spans="1:25" ht="15.75" outlineLevel="1" thickBot="1" x14ac:dyDescent="0.3">
      <c r="A33" s="12" t="s">
        <v>5</v>
      </c>
      <c r="B33" s="16"/>
      <c r="C33" s="30">
        <v>4</v>
      </c>
      <c r="D33" s="11">
        <v>10</v>
      </c>
      <c r="E33" s="11">
        <f>IF(D33="4.5 C", 4.5, IF(D33="4.8 C", 4.8, D33))</f>
        <v>10</v>
      </c>
      <c r="F33" s="11">
        <f t="shared" ref="F33:F48" si="13">IF(L33="Full", IF(Y33=1, E33*C33, E33), IF(L33="Gap", C33, E33))</f>
        <v>40</v>
      </c>
      <c r="G33" s="2">
        <f>VLOOKUP('930-4'!D33,Table1[],2,0)</f>
        <v>10.75</v>
      </c>
      <c r="H33" s="13">
        <f>G33*3.14*2.54</f>
        <v>85.737700000000004</v>
      </c>
      <c r="I33" s="2">
        <f>ROUNDUP(H33, 0)</f>
        <v>86</v>
      </c>
      <c r="J33" s="12">
        <v>40</v>
      </c>
      <c r="K33" s="12">
        <v>50</v>
      </c>
      <c r="L33" s="16" t="s">
        <v>13</v>
      </c>
      <c r="M33" s="14">
        <f t="shared" ref="M33:M48" si="14">IF(L33="Gap",C33, IF(E33&lt;=3, 3*C33, IF(L33="Full", C33*E33/Y33, IF(J33=K33,"Error", IF(K33&lt;J33, C33*(I33+K33-J33)*H33*E33/(3.14*2.54*I33*G33), C33*(K33-J33)*H33*E33/(3.14*2.54*I33*G33))))))</f>
        <v>40</v>
      </c>
      <c r="N33" s="15">
        <f t="shared" ref="N33:N48" si="15">IF(L33=0,IF(L32=0,IF(L31=0,IF(L30=0,IF(L29=0,IF(L28=0,IF(L27="Segment",M33,0),IF(L28="Segment",M33,0)),IF(L29="Segment",M33,0)),IF(L30="Segment",M33,0)),IF(L31="Segment",M33,0)),IF(L32="Segment",M33,0)),M33)</f>
        <v>40</v>
      </c>
      <c r="O33" s="15" t="str">
        <f t="shared" ref="O33:O48" si="16">IF(OR(T33="REJ",T33="NOT DONE-CONTRACTOR"), "YES", "NO")</f>
        <v>NO</v>
      </c>
      <c r="P33" s="25" t="str">
        <f>IF(L33&lt;&gt;0, IF(L33="Gap", O33, IF(L34&lt;&gt;0,  IF(O33="NO", "NO", "YES"), IF(L35&lt;&gt;0, IF(AND(O33="NO", O34="NO"), "NO", "YES"), IF(L36&lt;&gt;0, IF(AND(O33="NO", O34="NO", O35="NO"), "NO", "YES"), IF(AND(O33="NO", O34="NO", O35="NO", O36="NO"), "NO", "YES"))))))</f>
        <v>NO</v>
      </c>
      <c r="Q33" s="25">
        <f>IF(L33=0,0,IF(L34&lt;&gt;0,N33,IF(L35&lt;&gt;0,N33+N34,IF(L36&lt;&gt;0,N33+N34+N35,IF(L37&lt;&gt;0,N33+N34+N35+N36,IF(L38&lt;&gt;0,N33+N34+N35+N36+N37,N33+N34+N35+N36+N37+N38))))))</f>
        <v>40</v>
      </c>
      <c r="R33" s="25">
        <f t="shared" ref="R33:R48" si="17">IF(OR(T33="ACC", T33="REP", T33="RS", T33="RT"), N33, 0)</f>
        <v>40</v>
      </c>
      <c r="S33" s="25">
        <f t="shared" ref="S33:S45" si="18">IF(L33=0, 0, IF(L34&lt;&gt;0, R33, IF(L35&lt;&gt;0, R33+R34, IF(L36&lt;&gt;0, R33+R34+R35, IF(L37&lt;&gt;0, R33+R34+R35+R36, IF(L38&lt;&gt;0, R33+R34+R35+R36+R37, R33+R34+R35+R36+R37+R38))))))</f>
        <v>40</v>
      </c>
      <c r="T33" s="12" t="s">
        <v>7</v>
      </c>
      <c r="U33" s="12" t="s">
        <v>35</v>
      </c>
      <c r="V33" s="25">
        <f t="shared" ref="V33:V48" si="19">IF(OR(S33=0, P33=FALSE), 0, IF(AND(Q33&gt;3*C33, Q33&gt;F33), "Segment Error", IF(OR(P33="YES", L33="Gap"), S33, IF(E33&lt;3, S33, IF(S33&gt;F33/2, F33, F33/2)))))</f>
        <v>40</v>
      </c>
      <c r="W33" s="10">
        <f>V33*2400000</f>
        <v>96000000</v>
      </c>
      <c r="Y33" s="1">
        <f t="shared" ref="Y33:Y46" si="20">IF(L33="FULL",IF(L34=0,IF(L35=0,IF(L36=0,IF(L37=0,5,4),3),2),1),IF(L33=0,Y32,1))</f>
        <v>1</v>
      </c>
    </row>
    <row r="34" spans="1:25" ht="15.75" outlineLevel="1" thickBot="1" x14ac:dyDescent="0.3">
      <c r="A34" s="12" t="s">
        <v>5</v>
      </c>
      <c r="B34" s="16"/>
      <c r="C34" s="30">
        <v>2</v>
      </c>
      <c r="D34" s="11">
        <v>14</v>
      </c>
      <c r="E34" s="11">
        <f t="shared" ref="E34:E48" si="21">IF(D34="4.5 C", 4.5, IF(D34="4.8 C", 4.8, D34))</f>
        <v>14</v>
      </c>
      <c r="F34" s="11">
        <f t="shared" si="13"/>
        <v>28</v>
      </c>
      <c r="G34" s="2">
        <f>VLOOKUP('930-4'!D34,Table1[],2,0)</f>
        <v>14</v>
      </c>
      <c r="H34" s="13">
        <f t="shared" ref="H34:H48" si="22">G34*3.14*2.54</f>
        <v>111.6584</v>
      </c>
      <c r="I34" s="2">
        <f t="shared" ref="I34:I48" si="23">ROUNDUP(H34, 0)</f>
        <v>112</v>
      </c>
      <c r="J34" s="12">
        <v>4</v>
      </c>
      <c r="K34" s="12">
        <v>13</v>
      </c>
      <c r="L34" s="16" t="s">
        <v>13</v>
      </c>
      <c r="M34" s="14">
        <f t="shared" si="14"/>
        <v>28</v>
      </c>
      <c r="N34" s="15">
        <f t="shared" si="15"/>
        <v>28</v>
      </c>
      <c r="O34" s="15" t="str">
        <f t="shared" si="16"/>
        <v>NO</v>
      </c>
      <c r="P34" s="25" t="str">
        <f>IF(L34&lt;&gt;0, IF(L34="Gap", O34, IF(L35&lt;&gt;0,  IF(O34="NO", "NO", "YES"), IF(L36&lt;&gt;0, IF(AND(O34="NO", O35="NO"), "NO", "YES"), IF(L37&lt;&gt;0, IF(AND(O34="NO", O35="NO", O36="NO"), "NO", "YES"), IF(AND(O34="NO", O35="NO", O36="NO", O37="NO"), "NO", "YES"))))))</f>
        <v>NO</v>
      </c>
      <c r="Q34" s="25">
        <f t="shared" ref="Q34:Q45" si="24">IF(L34=0,0,IF(L35&lt;&gt;0,N34,IF(L36&lt;&gt;0,N34+N35,IF(L37&lt;&gt;0,N34+N35+N36,IF(L38&lt;&gt;0,N34+N35+N36+N37,IF(L39&lt;&gt;0,N34+N35+N36+N37+N38,N34+N35+N36+N37+N38+N39))))))</f>
        <v>28</v>
      </c>
      <c r="R34" s="25">
        <f t="shared" si="17"/>
        <v>28</v>
      </c>
      <c r="S34" s="25">
        <f t="shared" si="18"/>
        <v>28</v>
      </c>
      <c r="T34" s="12" t="s">
        <v>7</v>
      </c>
      <c r="U34" s="12" t="s">
        <v>35</v>
      </c>
      <c r="V34" s="25">
        <f t="shared" si="19"/>
        <v>28</v>
      </c>
      <c r="W34" s="10">
        <f t="shared" ref="W34:W48" si="25">V34*2400000</f>
        <v>67200000</v>
      </c>
      <c r="Y34" s="1">
        <f t="shared" si="20"/>
        <v>1</v>
      </c>
    </row>
    <row r="35" spans="1:25" ht="15.75" outlineLevel="1" thickBot="1" x14ac:dyDescent="0.3">
      <c r="A35" s="12" t="s">
        <v>5</v>
      </c>
      <c r="B35" s="16"/>
      <c r="C35" s="30">
        <v>0</v>
      </c>
      <c r="D35" s="11">
        <v>10</v>
      </c>
      <c r="E35" s="11">
        <f t="shared" si="21"/>
        <v>10</v>
      </c>
      <c r="F35" s="11">
        <f t="shared" si="13"/>
        <v>0</v>
      </c>
      <c r="G35" s="2">
        <f>VLOOKUP('930-4'!D35,Table1[],2,0)</f>
        <v>10.75</v>
      </c>
      <c r="H35" s="13">
        <f t="shared" si="22"/>
        <v>85.737700000000004</v>
      </c>
      <c r="I35" s="2">
        <f t="shared" si="23"/>
        <v>86</v>
      </c>
      <c r="J35" s="12">
        <v>4</v>
      </c>
      <c r="K35" s="12">
        <v>13</v>
      </c>
      <c r="L35" s="16" t="s">
        <v>13</v>
      </c>
      <c r="M35" s="14">
        <f t="shared" si="14"/>
        <v>0</v>
      </c>
      <c r="N35" s="15">
        <f t="shared" si="15"/>
        <v>0</v>
      </c>
      <c r="O35" s="15" t="str">
        <f t="shared" si="16"/>
        <v>NO</v>
      </c>
      <c r="P35" s="25" t="str">
        <f>IF(L35&lt;&gt;0, IF(L35="Gap", O35, IF(L36&lt;&gt;0,  IF(O35="NO", "NO", "YES"), IF(L37&lt;&gt;0, IF(AND(O35="NO", O36="NO"), "NO", "YES"), IF(L43&lt;&gt;0, IF(AND(O35="NO", O36="NO", O37="NO"), "NO", "YES"), IF(AND(O35="NO", O36="NO", O37="NO", O43="NO"), "NO", "YES"))))))</f>
        <v>NO</v>
      </c>
      <c r="Q35" s="25">
        <f t="shared" si="24"/>
        <v>0</v>
      </c>
      <c r="R35" s="25">
        <f t="shared" si="17"/>
        <v>0</v>
      </c>
      <c r="S35" s="25">
        <f t="shared" si="18"/>
        <v>0</v>
      </c>
      <c r="T35" s="12" t="s">
        <v>7</v>
      </c>
      <c r="U35" s="12" t="s">
        <v>35</v>
      </c>
      <c r="V35" s="25">
        <f t="shared" si="19"/>
        <v>0</v>
      </c>
      <c r="W35" s="10">
        <f t="shared" si="25"/>
        <v>0</v>
      </c>
      <c r="X35" s="33"/>
      <c r="Y35" s="1">
        <f t="shared" si="20"/>
        <v>1</v>
      </c>
    </row>
    <row r="36" spans="1:25" ht="15.75" outlineLevel="1" thickBot="1" x14ac:dyDescent="0.3">
      <c r="A36" s="12" t="s">
        <v>5</v>
      </c>
      <c r="B36" s="16"/>
      <c r="C36" s="30">
        <v>0</v>
      </c>
      <c r="D36" s="11">
        <v>28</v>
      </c>
      <c r="E36" s="11">
        <f t="shared" si="21"/>
        <v>28</v>
      </c>
      <c r="F36" s="11">
        <f t="shared" si="13"/>
        <v>0</v>
      </c>
      <c r="G36" s="2">
        <f>VLOOKUP('930-4'!D36,Table1[],2,0)</f>
        <v>28</v>
      </c>
      <c r="H36" s="13">
        <f t="shared" si="22"/>
        <v>223.3168</v>
      </c>
      <c r="I36" s="2">
        <f t="shared" si="23"/>
        <v>224</v>
      </c>
      <c r="J36" s="12">
        <v>20</v>
      </c>
      <c r="K36" s="12">
        <v>40</v>
      </c>
      <c r="L36" s="16" t="s">
        <v>13</v>
      </c>
      <c r="M36" s="14">
        <f t="shared" si="14"/>
        <v>0</v>
      </c>
      <c r="N36" s="15">
        <f t="shared" si="15"/>
        <v>0</v>
      </c>
      <c r="O36" s="15" t="str">
        <f t="shared" si="16"/>
        <v>NO</v>
      </c>
      <c r="P36" s="25" t="str">
        <f>IF(L36&lt;&gt;0, IF(L36="Gap", O36, IF(L37&lt;&gt;0,  IF(O36="NO", "NO", "YES"), IF(L43&lt;&gt;0, IF(AND(O36="NO", O37="NO"), "NO", "YES"), IF(L44&lt;&gt;0, IF(AND(O36="NO", O37="NO", O43="NO"), "NO", "YES"), IF(AND(O36="NO", O37="NO", O43="NO", O44="NO"), "NO", "YES"))))))</f>
        <v>NO</v>
      </c>
      <c r="Q36" s="25">
        <f t="shared" si="24"/>
        <v>0</v>
      </c>
      <c r="R36" s="25">
        <f t="shared" si="17"/>
        <v>0</v>
      </c>
      <c r="S36" s="25">
        <f t="shared" si="18"/>
        <v>0</v>
      </c>
      <c r="T36" s="12" t="s">
        <v>7</v>
      </c>
      <c r="U36" s="12" t="s">
        <v>35</v>
      </c>
      <c r="V36" s="25">
        <f t="shared" si="19"/>
        <v>0</v>
      </c>
      <c r="W36" s="10">
        <f t="shared" si="25"/>
        <v>0</v>
      </c>
      <c r="Y36" s="1">
        <f t="shared" si="20"/>
        <v>1</v>
      </c>
    </row>
    <row r="37" spans="1:25" ht="15.75" outlineLevel="1" thickBot="1" x14ac:dyDescent="0.3">
      <c r="A37" s="12" t="s">
        <v>5</v>
      </c>
      <c r="B37" s="16"/>
      <c r="C37" s="30">
        <v>0</v>
      </c>
      <c r="D37" s="11">
        <v>10</v>
      </c>
      <c r="E37" s="11">
        <f t="shared" si="21"/>
        <v>10</v>
      </c>
      <c r="F37" s="11">
        <f t="shared" si="13"/>
        <v>0</v>
      </c>
      <c r="G37" s="2">
        <f>VLOOKUP('930-4'!D37,Table1[],2,0)</f>
        <v>10.75</v>
      </c>
      <c r="H37" s="13">
        <f t="shared" si="22"/>
        <v>85.737700000000004</v>
      </c>
      <c r="I37" s="2">
        <f t="shared" si="23"/>
        <v>86</v>
      </c>
      <c r="J37" s="12">
        <v>65</v>
      </c>
      <c r="K37" s="12">
        <v>85</v>
      </c>
      <c r="L37" s="16" t="s">
        <v>13</v>
      </c>
      <c r="M37" s="14">
        <f t="shared" si="14"/>
        <v>0</v>
      </c>
      <c r="N37" s="15">
        <f t="shared" si="15"/>
        <v>0</v>
      </c>
      <c r="O37" s="15" t="str">
        <f t="shared" si="16"/>
        <v>NO</v>
      </c>
      <c r="P37" s="25" t="str">
        <f>IF(L37&lt;&gt;0, IF(L37="Gap", O37, IF(L43&lt;&gt;0,  IF(O37="NO", "NO", "YES"), IF(L44&lt;&gt;0, IF(AND(O37="NO", O43="NO"), "NO", "YES"), IF(L45&lt;&gt;0, IF(AND(O37="NO", O43="NO", O44="NO"), "NO", "YES"), IF(AND(O37="NO", O43="NO", O44="NO", O45="NO"), "NO", "YES"))))))</f>
        <v>NO</v>
      </c>
      <c r="Q37" s="25">
        <f t="shared" si="24"/>
        <v>0</v>
      </c>
      <c r="R37" s="25">
        <f t="shared" si="17"/>
        <v>0</v>
      </c>
      <c r="S37" s="25">
        <f t="shared" si="18"/>
        <v>0</v>
      </c>
      <c r="T37" s="12" t="s">
        <v>7</v>
      </c>
      <c r="U37" s="12" t="s">
        <v>35</v>
      </c>
      <c r="V37" s="25">
        <f t="shared" si="19"/>
        <v>0</v>
      </c>
      <c r="W37" s="10">
        <f t="shared" si="25"/>
        <v>0</v>
      </c>
      <c r="Y37" s="1">
        <f t="shared" si="20"/>
        <v>1</v>
      </c>
    </row>
    <row r="38" spans="1:25" ht="15.75" outlineLevel="1" thickBot="1" x14ac:dyDescent="0.3">
      <c r="A38" s="12" t="s">
        <v>5</v>
      </c>
      <c r="B38" s="32"/>
      <c r="C38" s="30">
        <v>0</v>
      </c>
      <c r="D38" s="11">
        <v>10</v>
      </c>
      <c r="E38" s="11">
        <f t="shared" si="21"/>
        <v>10</v>
      </c>
      <c r="F38" s="11">
        <f t="shared" si="13"/>
        <v>0</v>
      </c>
      <c r="G38" s="2">
        <f>VLOOKUP('930-4'!D38,Table1[],2,0)</f>
        <v>10.75</v>
      </c>
      <c r="H38" s="13">
        <f t="shared" si="22"/>
        <v>85.737700000000004</v>
      </c>
      <c r="I38" s="2">
        <f t="shared" si="23"/>
        <v>86</v>
      </c>
      <c r="J38" s="12">
        <v>40</v>
      </c>
      <c r="K38" s="12">
        <v>125</v>
      </c>
      <c r="L38" s="16" t="s">
        <v>13</v>
      </c>
      <c r="M38" s="14">
        <f t="shared" si="14"/>
        <v>0</v>
      </c>
      <c r="N38" s="15">
        <f t="shared" si="15"/>
        <v>0</v>
      </c>
      <c r="O38" s="15" t="str">
        <f t="shared" si="16"/>
        <v>NO</v>
      </c>
      <c r="P38" s="25" t="str">
        <f>IF(L38&lt;&gt;0, IF(L38="Gap", O38, IF(L39&lt;&gt;0,  IF(O38="NO", "NO", "YES"), IF(L40&lt;&gt;0, IF(AND(O38="NO", O39="NO"), "NO", "YES"), IF(L41&lt;&gt;0, IF(AND(O38="NO", O39="NO", O40="NO"), "NO", "YES"), IF(AND(O38="NO", O39="NO", O40="NO", O41="NO"), "NO", "YES"))))))</f>
        <v>NO</v>
      </c>
      <c r="Q38" s="25">
        <f t="shared" si="24"/>
        <v>0</v>
      </c>
      <c r="R38" s="25">
        <f t="shared" si="17"/>
        <v>0</v>
      </c>
      <c r="S38" s="25">
        <f t="shared" si="18"/>
        <v>0</v>
      </c>
      <c r="T38" s="12" t="s">
        <v>7</v>
      </c>
      <c r="U38" s="12" t="s">
        <v>35</v>
      </c>
      <c r="V38" s="25">
        <f t="shared" si="19"/>
        <v>0</v>
      </c>
      <c r="W38" s="10">
        <f t="shared" si="25"/>
        <v>0</v>
      </c>
      <c r="Y38" s="1">
        <f t="shared" si="20"/>
        <v>1</v>
      </c>
    </row>
    <row r="39" spans="1:25" ht="15.75" outlineLevel="1" thickBot="1" x14ac:dyDescent="0.3">
      <c r="A39" s="12" t="s">
        <v>5</v>
      </c>
      <c r="B39" s="16"/>
      <c r="C39" s="30">
        <v>0</v>
      </c>
      <c r="D39" s="11">
        <v>6</v>
      </c>
      <c r="E39" s="11">
        <f t="shared" si="21"/>
        <v>6</v>
      </c>
      <c r="F39" s="11">
        <f t="shared" si="13"/>
        <v>6</v>
      </c>
      <c r="G39" s="2">
        <f>VLOOKUP('930-4'!D39,Table1[],2,0)</f>
        <v>6.625</v>
      </c>
      <c r="H39" s="13">
        <f t="shared" si="22"/>
        <v>52.838350000000005</v>
      </c>
      <c r="I39" s="2">
        <f t="shared" si="23"/>
        <v>53</v>
      </c>
      <c r="J39" s="12">
        <v>40</v>
      </c>
      <c r="K39" s="12">
        <v>125</v>
      </c>
      <c r="L39" s="16" t="s">
        <v>34</v>
      </c>
      <c r="M39" s="14">
        <f t="shared" si="14"/>
        <v>0</v>
      </c>
      <c r="N39" s="15">
        <f t="shared" si="15"/>
        <v>0</v>
      </c>
      <c r="O39" s="15" t="str">
        <f t="shared" si="16"/>
        <v>NO</v>
      </c>
      <c r="P39" s="25" t="str">
        <f>IF(L39&lt;&gt;0, IF(L39="Gap", O39, IF(L40&lt;&gt;0,  IF(O39="NO", "NO", "YES"), IF(L41&lt;&gt;0, IF(AND(O39="NO", O40="NO"), "NO", "YES"), IF(L43&lt;&gt;0, IF(AND(O39="NO", O40="NO", O41="NO"), "NO", "YES"), IF(AND(O39="NO", O40="NO", O41="NO", O43="NO"), "NO", "YES"))))))</f>
        <v>NO</v>
      </c>
      <c r="Q39" s="25">
        <f t="shared" si="24"/>
        <v>0</v>
      </c>
      <c r="R39" s="25">
        <f t="shared" si="17"/>
        <v>0</v>
      </c>
      <c r="S39" s="25">
        <f t="shared" si="18"/>
        <v>0</v>
      </c>
      <c r="T39" s="12" t="s">
        <v>7</v>
      </c>
      <c r="U39" s="12" t="s">
        <v>35</v>
      </c>
      <c r="V39" s="25">
        <f t="shared" si="19"/>
        <v>0</v>
      </c>
      <c r="W39" s="10">
        <f t="shared" si="25"/>
        <v>0</v>
      </c>
      <c r="Y39" s="1">
        <f t="shared" si="20"/>
        <v>1</v>
      </c>
    </row>
    <row r="40" spans="1:25" ht="15.75" outlineLevel="1" thickBot="1" x14ac:dyDescent="0.3">
      <c r="A40" s="12" t="s">
        <v>5</v>
      </c>
      <c r="B40" s="16"/>
      <c r="C40" s="30">
        <v>0</v>
      </c>
      <c r="D40" s="11">
        <v>18</v>
      </c>
      <c r="E40" s="11">
        <f t="shared" si="21"/>
        <v>18</v>
      </c>
      <c r="F40" s="11">
        <f t="shared" si="13"/>
        <v>18</v>
      </c>
      <c r="G40" s="2">
        <f>VLOOKUP('930-4'!D40,Table1[],2,0)</f>
        <v>18</v>
      </c>
      <c r="H40" s="13">
        <f t="shared" si="22"/>
        <v>143.5608</v>
      </c>
      <c r="I40" s="2">
        <f t="shared" si="23"/>
        <v>144</v>
      </c>
      <c r="J40" s="12">
        <v>40</v>
      </c>
      <c r="K40" s="12">
        <v>45</v>
      </c>
      <c r="L40" s="34" t="s">
        <v>34</v>
      </c>
      <c r="M40" s="14">
        <f t="shared" si="14"/>
        <v>0</v>
      </c>
      <c r="N40" s="15">
        <f t="shared" si="15"/>
        <v>0</v>
      </c>
      <c r="O40" s="15" t="str">
        <f t="shared" si="16"/>
        <v>NO</v>
      </c>
      <c r="P40" s="25" t="str">
        <f>IF(L40&lt;&gt;0, IF(L40="Gap", O40, IF(L41&lt;&gt;0,  IF(O40="NO", "NO", "YES"), IF(L43&lt;&gt;0, IF(AND(O40="NO", O41="NO"), "NO", "YES"), IF(L44&lt;&gt;0, IF(AND(O40="NO", O41="NO", O43="NO"), "NO", "YES"), IF(AND(O40="NO", O41="NO", O43="NO", O44="NO"), "NO", "YES"))))))</f>
        <v>NO</v>
      </c>
      <c r="Q40" s="25">
        <f t="shared" si="24"/>
        <v>0</v>
      </c>
      <c r="R40" s="25">
        <f t="shared" si="17"/>
        <v>0</v>
      </c>
      <c r="S40" s="25">
        <f t="shared" si="18"/>
        <v>0</v>
      </c>
      <c r="T40" s="12" t="s">
        <v>7</v>
      </c>
      <c r="U40" s="12" t="s">
        <v>35</v>
      </c>
      <c r="V40" s="25">
        <f t="shared" si="19"/>
        <v>0</v>
      </c>
      <c r="W40" s="10">
        <f t="shared" si="25"/>
        <v>0</v>
      </c>
      <c r="Y40" s="1">
        <f t="shared" si="20"/>
        <v>1</v>
      </c>
    </row>
    <row r="41" spans="1:25" ht="15.75" outlineLevel="1" thickBot="1" x14ac:dyDescent="0.3">
      <c r="A41" s="16" t="s">
        <v>5</v>
      </c>
      <c r="B41" s="16"/>
      <c r="C41" s="30">
        <v>0</v>
      </c>
      <c r="D41" s="17">
        <v>18</v>
      </c>
      <c r="E41" s="11">
        <f t="shared" si="21"/>
        <v>18</v>
      </c>
      <c r="F41" s="11">
        <f t="shared" si="13"/>
        <v>18</v>
      </c>
      <c r="G41" s="2">
        <f>VLOOKUP('930-4'!D41,Table1[],2,0)</f>
        <v>18</v>
      </c>
      <c r="H41" s="19">
        <f t="shared" si="22"/>
        <v>143.5608</v>
      </c>
      <c r="I41" s="18">
        <f t="shared" si="23"/>
        <v>144</v>
      </c>
      <c r="J41" s="12">
        <v>40</v>
      </c>
      <c r="K41" s="12">
        <v>10</v>
      </c>
      <c r="L41" s="35"/>
      <c r="M41" s="14">
        <f t="shared" si="14"/>
        <v>0</v>
      </c>
      <c r="N41" s="15">
        <f t="shared" si="15"/>
        <v>0</v>
      </c>
      <c r="O41" s="15" t="str">
        <f t="shared" si="16"/>
        <v>NO</v>
      </c>
      <c r="P41" s="25" t="b">
        <f>IF(L41&lt;&gt;0, IF(L41="Gap", O41, IF(L43&lt;&gt;0,  IF(O41="NO", "NO", "YES"), IF(L44&lt;&gt;0, IF(AND(O41="NO", O43="NO"), "NO", "YES"), IF(L45&lt;&gt;0, IF(AND(O41="NO", O43="NO", O44="NO"), "NO", "YES"), IF(AND(O41="NO", O43="NO", O44="NO", O45="NO"), "NO", "YES"))))))</f>
        <v>0</v>
      </c>
      <c r="Q41" s="25">
        <f t="shared" si="24"/>
        <v>0</v>
      </c>
      <c r="R41" s="25">
        <f t="shared" si="17"/>
        <v>0</v>
      </c>
      <c r="S41" s="25">
        <f t="shared" si="18"/>
        <v>0</v>
      </c>
      <c r="T41" s="12" t="s">
        <v>7</v>
      </c>
      <c r="U41" s="12" t="s">
        <v>35</v>
      </c>
      <c r="V41" s="25">
        <f t="shared" si="19"/>
        <v>0</v>
      </c>
      <c r="W41" s="10">
        <f t="shared" si="25"/>
        <v>0</v>
      </c>
      <c r="Y41" s="1">
        <f t="shared" si="20"/>
        <v>1</v>
      </c>
    </row>
    <row r="42" spans="1:25" ht="15.75" outlineLevel="1" thickBot="1" x14ac:dyDescent="0.3">
      <c r="A42" s="12" t="s">
        <v>5</v>
      </c>
      <c r="B42" s="16"/>
      <c r="C42" s="30">
        <v>0</v>
      </c>
      <c r="D42" s="11">
        <v>10</v>
      </c>
      <c r="E42" s="11">
        <f t="shared" si="21"/>
        <v>10</v>
      </c>
      <c r="F42" s="11">
        <f t="shared" si="13"/>
        <v>0</v>
      </c>
      <c r="G42" s="2">
        <f>VLOOKUP('930-4'!D42,Table1[],2,0)</f>
        <v>10.75</v>
      </c>
      <c r="H42" s="13">
        <f t="shared" si="22"/>
        <v>85.737700000000004</v>
      </c>
      <c r="I42" s="2">
        <f t="shared" si="23"/>
        <v>86</v>
      </c>
      <c r="J42" s="12">
        <v>40</v>
      </c>
      <c r="K42" s="12">
        <v>35</v>
      </c>
      <c r="L42" s="16" t="s">
        <v>13</v>
      </c>
      <c r="M42" s="14">
        <f t="shared" si="14"/>
        <v>0</v>
      </c>
      <c r="N42" s="15">
        <f t="shared" si="15"/>
        <v>0</v>
      </c>
      <c r="O42" s="15" t="str">
        <f t="shared" si="16"/>
        <v>NO</v>
      </c>
      <c r="P42" s="25" t="str">
        <f>IF(L42&lt;&gt;0, IF(L42="Gap", O42, IF(L48&lt;&gt;0,  IF(O42="NO", "NO", "YES"), IF(L49&lt;&gt;0, IF(AND(O42="NO", O48="NO"), "NO", "YES"), IF(L50&lt;&gt;0, IF(AND(O42="NO", O48="NO", O49="NO"), "NO", "YES"), IF(AND(O42="NO", O48="NO", O49="NO", O50="NO"), "NO", "YES"))))))</f>
        <v>NO</v>
      </c>
      <c r="Q42" s="25">
        <f t="shared" si="24"/>
        <v>0</v>
      </c>
      <c r="R42" s="25">
        <f t="shared" si="17"/>
        <v>0</v>
      </c>
      <c r="S42" s="25">
        <f t="shared" si="18"/>
        <v>0</v>
      </c>
      <c r="T42" s="12" t="s">
        <v>7</v>
      </c>
      <c r="U42" s="12" t="s">
        <v>35</v>
      </c>
      <c r="V42" s="25">
        <f t="shared" si="19"/>
        <v>0</v>
      </c>
      <c r="W42" s="10">
        <f t="shared" si="25"/>
        <v>0</v>
      </c>
      <c r="Y42" s="1">
        <f t="shared" si="20"/>
        <v>1</v>
      </c>
    </row>
    <row r="43" spans="1:25" ht="15.75" outlineLevel="1" thickBot="1" x14ac:dyDescent="0.3">
      <c r="A43" s="12" t="s">
        <v>5</v>
      </c>
      <c r="B43" s="32"/>
      <c r="C43" s="30">
        <v>0</v>
      </c>
      <c r="D43" s="11">
        <v>10</v>
      </c>
      <c r="E43" s="11">
        <f t="shared" si="21"/>
        <v>10</v>
      </c>
      <c r="F43" s="11">
        <f t="shared" si="13"/>
        <v>10</v>
      </c>
      <c r="G43" s="2">
        <f>VLOOKUP('930-4'!D43,Table1[],2,0)</f>
        <v>10.75</v>
      </c>
      <c r="H43" s="13">
        <f t="shared" si="22"/>
        <v>85.737700000000004</v>
      </c>
      <c r="I43" s="2">
        <f t="shared" si="23"/>
        <v>86</v>
      </c>
      <c r="J43" s="12">
        <v>40</v>
      </c>
      <c r="K43" s="12">
        <v>50</v>
      </c>
      <c r="L43" s="34" t="s">
        <v>34</v>
      </c>
      <c r="M43" s="14">
        <f t="shared" si="14"/>
        <v>0</v>
      </c>
      <c r="N43" s="15">
        <f t="shared" si="15"/>
        <v>0</v>
      </c>
      <c r="O43" s="15" t="str">
        <f t="shared" si="16"/>
        <v>NO</v>
      </c>
      <c r="P43" s="25" t="str">
        <f>IF(L43&lt;&gt;0, IF(L43="Gap", O43, IF(L44&lt;&gt;0,  IF(O43="NO", "NO", "YES"), IF(L45&lt;&gt;0, IF(AND(O43="NO", O44="NO"), "NO", "YES"), IF(L46&lt;&gt;0, IF(AND(O43="NO", O44="NO", O45="NO"), "NO", "YES"), IF(AND(O43="NO", O44="NO", O45="NO", O46="NO"), "NO", "YES"))))))</f>
        <v>NO</v>
      </c>
      <c r="Q43" s="25">
        <f t="shared" si="24"/>
        <v>0</v>
      </c>
      <c r="R43" s="25">
        <f t="shared" si="17"/>
        <v>0</v>
      </c>
      <c r="S43" s="25">
        <f t="shared" si="18"/>
        <v>0</v>
      </c>
      <c r="T43" s="12" t="s">
        <v>7</v>
      </c>
      <c r="U43" s="12" t="s">
        <v>35</v>
      </c>
      <c r="V43" s="25">
        <f t="shared" si="19"/>
        <v>0</v>
      </c>
      <c r="W43" s="10">
        <f t="shared" si="25"/>
        <v>0</v>
      </c>
      <c r="Y43" s="1">
        <f t="shared" si="20"/>
        <v>1</v>
      </c>
    </row>
    <row r="44" spans="1:25" ht="15.75" outlineLevel="1" thickBot="1" x14ac:dyDescent="0.3">
      <c r="A44" s="12" t="s">
        <v>5</v>
      </c>
      <c r="B44" s="16"/>
      <c r="C44" s="30">
        <v>0</v>
      </c>
      <c r="D44" s="11">
        <v>10</v>
      </c>
      <c r="E44" s="11">
        <f t="shared" si="21"/>
        <v>10</v>
      </c>
      <c r="F44" s="11">
        <f t="shared" si="13"/>
        <v>10</v>
      </c>
      <c r="G44" s="2">
        <f>VLOOKUP('930-4'!D44,Table1[],2,0)</f>
        <v>10.75</v>
      </c>
      <c r="H44" s="13">
        <f t="shared" si="22"/>
        <v>85.737700000000004</v>
      </c>
      <c r="I44" s="2">
        <f t="shared" si="23"/>
        <v>86</v>
      </c>
      <c r="J44" s="12">
        <v>40</v>
      </c>
      <c r="K44" s="12">
        <v>80</v>
      </c>
      <c r="L44" s="35"/>
      <c r="M44" s="14">
        <f t="shared" si="14"/>
        <v>0</v>
      </c>
      <c r="N44" s="15">
        <f t="shared" si="15"/>
        <v>0</v>
      </c>
      <c r="O44" s="15" t="str">
        <f t="shared" si="16"/>
        <v>NO</v>
      </c>
      <c r="P44" s="25" t="b">
        <f>IF(L44&lt;&gt;0, IF(L44="Gap", O44, IF(L45&lt;&gt;0,  IF(O44="NO", "NO", "YES"), IF(L46&lt;&gt;0, IF(AND(O44="NO", O45="NO"), "NO", "YES"), IF(L48&lt;&gt;0, IF(AND(O44="NO", O45="NO", O46="NO"), "NO", "YES"), IF(AND(O44="NO", O45="NO", O46="NO", O48="NO"), "NO", "YES"))))))</f>
        <v>0</v>
      </c>
      <c r="Q44" s="25">
        <f t="shared" si="24"/>
        <v>0</v>
      </c>
      <c r="R44" s="25">
        <f t="shared" si="17"/>
        <v>0</v>
      </c>
      <c r="S44" s="25">
        <f t="shared" si="18"/>
        <v>0</v>
      </c>
      <c r="T44" s="12" t="s">
        <v>7</v>
      </c>
      <c r="U44" s="12" t="s">
        <v>35</v>
      </c>
      <c r="V44" s="25">
        <f t="shared" si="19"/>
        <v>0</v>
      </c>
      <c r="W44" s="10">
        <f t="shared" si="25"/>
        <v>0</v>
      </c>
      <c r="Y44" s="1">
        <f t="shared" si="20"/>
        <v>1</v>
      </c>
    </row>
    <row r="45" spans="1:25" ht="15.75" outlineLevel="1" thickBot="1" x14ac:dyDescent="0.3">
      <c r="A45" s="12" t="s">
        <v>5</v>
      </c>
      <c r="B45" s="16"/>
      <c r="C45" s="30">
        <v>0</v>
      </c>
      <c r="D45" s="11">
        <v>10</v>
      </c>
      <c r="E45" s="11">
        <f t="shared" si="21"/>
        <v>10</v>
      </c>
      <c r="F45" s="11">
        <f t="shared" si="13"/>
        <v>10</v>
      </c>
      <c r="G45" s="2">
        <f>VLOOKUP('930-4'!D45,Table1[],2,0)</f>
        <v>10.75</v>
      </c>
      <c r="H45" s="13">
        <f t="shared" si="22"/>
        <v>85.737700000000004</v>
      </c>
      <c r="I45" s="2">
        <f t="shared" si="23"/>
        <v>86</v>
      </c>
      <c r="J45" s="12">
        <v>40</v>
      </c>
      <c r="K45" s="12">
        <v>55</v>
      </c>
      <c r="L45" s="34" t="s">
        <v>34</v>
      </c>
      <c r="M45" s="14">
        <f t="shared" si="14"/>
        <v>0</v>
      </c>
      <c r="N45" s="15">
        <f t="shared" si="15"/>
        <v>0</v>
      </c>
      <c r="O45" s="15" t="str">
        <f t="shared" si="16"/>
        <v>NO</v>
      </c>
      <c r="P45" s="25" t="str">
        <f>IF(L45&lt;&gt;0, IF(L45="Gap", O45, IF(L46&lt;&gt;0,  IF(O45="NO", "NO", "YES"), IF(L48&lt;&gt;0, IF(AND(O45="NO", O46="NO"), "NO", "YES"), IF(L49&lt;&gt;0, IF(AND(O45="NO", O46="NO", O48="NO"), "NO", "YES"), IF(AND(O45="NO", O46="NO", O48="NO", O49="NO"), "NO", "YES"))))))</f>
        <v>NO</v>
      </c>
      <c r="Q45" s="25">
        <f t="shared" si="24"/>
        <v>0</v>
      </c>
      <c r="R45" s="25">
        <f t="shared" si="17"/>
        <v>0</v>
      </c>
      <c r="S45" s="25">
        <f t="shared" si="18"/>
        <v>0</v>
      </c>
      <c r="T45" s="12" t="s">
        <v>7</v>
      </c>
      <c r="U45" s="12" t="s">
        <v>35</v>
      </c>
      <c r="V45" s="25">
        <f t="shared" si="19"/>
        <v>0</v>
      </c>
      <c r="W45" s="10">
        <f t="shared" si="25"/>
        <v>0</v>
      </c>
      <c r="Y45" s="1">
        <f t="shared" si="20"/>
        <v>1</v>
      </c>
    </row>
    <row r="46" spans="1:25" ht="15.75" outlineLevel="1" thickBot="1" x14ac:dyDescent="0.3">
      <c r="A46" s="16" t="s">
        <v>5</v>
      </c>
      <c r="B46" s="16"/>
      <c r="C46" s="30">
        <v>0</v>
      </c>
      <c r="D46" s="17">
        <v>10</v>
      </c>
      <c r="E46" s="11">
        <f t="shared" si="21"/>
        <v>10</v>
      </c>
      <c r="F46" s="11">
        <f t="shared" si="13"/>
        <v>10</v>
      </c>
      <c r="G46" s="2">
        <f>VLOOKUP('930-4'!D46,Table1[],2,0)</f>
        <v>10.75</v>
      </c>
      <c r="H46" s="19">
        <f t="shared" si="22"/>
        <v>85.737700000000004</v>
      </c>
      <c r="I46" s="18">
        <f t="shared" si="23"/>
        <v>86</v>
      </c>
      <c r="J46" s="12">
        <v>40</v>
      </c>
      <c r="K46" s="12">
        <v>75</v>
      </c>
      <c r="L46" s="35"/>
      <c r="M46" s="14">
        <f t="shared" si="14"/>
        <v>0</v>
      </c>
      <c r="N46" s="15">
        <f t="shared" si="15"/>
        <v>0</v>
      </c>
      <c r="O46" s="15" t="str">
        <f t="shared" si="16"/>
        <v>NO</v>
      </c>
      <c r="P46" s="25" t="b">
        <f>IF(L46&lt;&gt;0, IF(L46="Gap", O46, IF(L48&lt;&gt;0,  IF(O46="NO", "NO", "YES"), IF(L49&lt;&gt;0, IF(AND(O46="NO", O48="NO"), "NO", "YES"), IF(L50&lt;&gt;0, IF(AND(O46="NO", O48="NO", O49="NO"), "NO", "YES"), IF(AND(O46="NO", O48="NO", O49="NO", O50="NO"), "NO", "YES"))))))</f>
        <v>0</v>
      </c>
      <c r="Q46" s="25">
        <f>IF(L46=0,0,IF(L47&lt;&gt;0,N46,IF(L48&lt;&gt;0,N46+N47,IF(L49&lt;&gt;0,N46+N47+N48,IF(L50&lt;&gt;0,N46+N47+N48+N49,IF(#REF!&lt;&gt;0,N46+N47+N48+N49+N50,N46+N47+N48+N49+N50+#REF!))))))</f>
        <v>0</v>
      </c>
      <c r="R46" s="25">
        <f t="shared" si="17"/>
        <v>0</v>
      </c>
      <c r="S46" s="25">
        <f>IF(L46=0, 0, IF(L47&lt;&gt;0, R46, IF(L48&lt;&gt;0, R46+R47, IF(L49&lt;&gt;0, R46+R47+R48, IF(L50&lt;&gt;0, R46+R47+R48+R49, IF(#REF!&lt;&gt;0, R46+R47+R48+R49+R50, R46+R47+R48+R49+R50+#REF!))))))</f>
        <v>0</v>
      </c>
      <c r="T46" s="12" t="s">
        <v>7</v>
      </c>
      <c r="U46" s="12" t="s">
        <v>35</v>
      </c>
      <c r="V46" s="25">
        <f t="shared" si="19"/>
        <v>0</v>
      </c>
      <c r="W46" s="10">
        <f t="shared" si="25"/>
        <v>0</v>
      </c>
      <c r="Y46" s="1">
        <f t="shared" si="20"/>
        <v>1</v>
      </c>
    </row>
    <row r="47" spans="1:25" ht="15.75" outlineLevel="1" thickBot="1" x14ac:dyDescent="0.3">
      <c r="A47" s="16"/>
      <c r="B47" s="16"/>
      <c r="C47" s="30">
        <v>0</v>
      </c>
      <c r="D47" s="17">
        <v>10</v>
      </c>
      <c r="E47" s="11">
        <f t="shared" si="21"/>
        <v>10</v>
      </c>
      <c r="F47" s="11">
        <f t="shared" si="13"/>
        <v>0</v>
      </c>
      <c r="G47" s="2">
        <f>VLOOKUP('930-4'!D47,Table1[],2,0)</f>
        <v>10.75</v>
      </c>
      <c r="H47" s="19">
        <f t="shared" si="22"/>
        <v>85.737700000000004</v>
      </c>
      <c r="I47" s="18">
        <f t="shared" si="23"/>
        <v>86</v>
      </c>
      <c r="J47" s="12">
        <v>40</v>
      </c>
      <c r="K47" s="12">
        <v>45</v>
      </c>
      <c r="L47" s="16" t="s">
        <v>13</v>
      </c>
      <c r="M47" s="14">
        <f t="shared" si="14"/>
        <v>0</v>
      </c>
      <c r="N47" s="15">
        <f t="shared" si="15"/>
        <v>0</v>
      </c>
      <c r="O47" s="15" t="str">
        <f t="shared" si="16"/>
        <v>NO</v>
      </c>
      <c r="P47" s="25" t="str">
        <f>IF(L47&lt;&gt;0, IF(L47="Gap", O47, IF(L48&lt;&gt;0,  IF(O47="NO", "NO", "YES"), IF(L49&lt;&gt;0, IF(AND(O47="NO", O48="NO"), "NO", "YES"), IF(L50&lt;&gt;0, IF(AND(O47="NO", O48="NO", O49="NO"), "NO", "YES"), IF(AND(O47="NO", O48="NO", O49="NO", O50="NO"), "NO", "YES"))))))</f>
        <v>NO</v>
      </c>
      <c r="Q47" s="25">
        <f>IF(L47=0,0,IF(L48&lt;&gt;0,N47,IF(L49&lt;&gt;0,N47+N48,IF(L50&lt;&gt;0,N47+N48+N49,IF(#REF!&lt;&gt;0,N47+N48+N49+N50,IF(#REF!&lt;&gt;0,N47+N48+N49+N50+#REF!,N47+N48+N49+N50+#REF!+#REF!))))))</f>
        <v>0</v>
      </c>
      <c r="R47" s="25">
        <f t="shared" si="17"/>
        <v>0</v>
      </c>
      <c r="S47" s="25">
        <f>IF(L47=0, 0, IF(L48&lt;&gt;0, R47, IF(L49&lt;&gt;0, R47+R48, IF(L50&lt;&gt;0, R47+R48+R49, IF(#REF!&lt;&gt;0, R47+R48+R49+R50, IF(#REF!&lt;&gt;0, R47+R48+R49+R50+#REF!, R47+R48+R49+R50+#REF!+#REF!))))))</f>
        <v>0</v>
      </c>
      <c r="T47" s="12" t="s">
        <v>7</v>
      </c>
      <c r="U47" s="12" t="s">
        <v>35</v>
      </c>
      <c r="V47" s="25">
        <f t="shared" si="19"/>
        <v>0</v>
      </c>
      <c r="W47" s="10">
        <f t="shared" si="25"/>
        <v>0</v>
      </c>
      <c r="Y47" s="1">
        <f>IF(L47="FULL",IF(L48=0,IF(L49=0,IF(L50=0,IF(#REF!=0,5,4),3),2),1),IF(L47=0,Y46,1))</f>
        <v>1</v>
      </c>
    </row>
    <row r="48" spans="1:25" outlineLevel="1" x14ac:dyDescent="0.25">
      <c r="A48" s="16"/>
      <c r="B48" s="16"/>
      <c r="C48" s="30">
        <v>0</v>
      </c>
      <c r="D48" s="17">
        <v>2</v>
      </c>
      <c r="E48" s="11">
        <f t="shared" si="21"/>
        <v>2</v>
      </c>
      <c r="F48" s="11">
        <f t="shared" si="13"/>
        <v>0</v>
      </c>
      <c r="G48" s="2">
        <f>VLOOKUP('930-4'!D48,Table1[],2,0)</f>
        <v>2.375</v>
      </c>
      <c r="H48" s="19">
        <f t="shared" si="22"/>
        <v>18.942050000000002</v>
      </c>
      <c r="I48" s="18">
        <f t="shared" si="23"/>
        <v>19</v>
      </c>
      <c r="J48" s="12">
        <v>40</v>
      </c>
      <c r="K48" s="12">
        <v>45</v>
      </c>
      <c r="L48" s="16" t="s">
        <v>13</v>
      </c>
      <c r="M48" s="14">
        <f t="shared" si="14"/>
        <v>0</v>
      </c>
      <c r="N48" s="15">
        <f t="shared" si="15"/>
        <v>0</v>
      </c>
      <c r="O48" s="15" t="str">
        <f t="shared" si="16"/>
        <v>NO</v>
      </c>
      <c r="P48" s="25" t="str">
        <f>IF(L48&lt;&gt;0, IF(L48="Gap", O48, IF(L49&lt;&gt;0,  IF(O48="NO", "NO", "YES"), IF(L50&lt;&gt;0, IF(AND(O48="NO", O49="NO"), "NO", "YES"), IF(#REF!&lt;&gt;0, IF(AND(O48="NO", O49="NO", O50="NO"), "NO", "YES"), IF(AND(O48="NO", O49="NO", O50="NO",#REF!= "NO"), "NO", "YES"))))))</f>
        <v>NO</v>
      </c>
      <c r="Q48" s="25">
        <f>IF(L48=0,0,IF(L49&lt;&gt;0,N48,IF(L50&lt;&gt;0,N48+N49,IF(#REF!&lt;&gt;0,N48+N49+N50,IF(#REF!&lt;&gt;0,N48+N49+N50+#REF!,IF(#REF!&lt;&gt;0,N48+N49+N50+#REF!+#REF!,N48+N49+N50+#REF!+#REF!+#REF!))))))</f>
        <v>0</v>
      </c>
      <c r="R48" s="25">
        <f t="shared" si="17"/>
        <v>0</v>
      </c>
      <c r="S48" s="25">
        <f>IF(L48=0, 0, IF(L49&lt;&gt;0, R48, IF(L50&lt;&gt;0, R48+R49, IF(#REF!&lt;&gt;0, R48+R49+R50, IF(#REF!&lt;&gt;0, R48+R49+R50+#REF!, IF(#REF!&lt;&gt;0, R48+R49+R50+#REF!+#REF!, R48+R49+R50+#REF!+#REF!+#REF!))))))</f>
        <v>0</v>
      </c>
      <c r="T48" s="12" t="s">
        <v>7</v>
      </c>
      <c r="U48" s="12" t="s">
        <v>35</v>
      </c>
      <c r="V48" s="25">
        <f t="shared" si="19"/>
        <v>0</v>
      </c>
      <c r="W48" s="10">
        <f t="shared" si="25"/>
        <v>0</v>
      </c>
      <c r="Y48" s="1">
        <f>IF(L48="FULL",IF(L49=0,IF(L50=0,IF(#REF!=0,IF(#REF!=0,5,4),3),2),1),IF(L48=0,Y47,1))</f>
        <v>1</v>
      </c>
    </row>
    <row r="49" spans="1:25" ht="15" customHeight="1" outlineLevel="1" x14ac:dyDescent="0.25">
      <c r="A49" s="29" t="s">
        <v>20</v>
      </c>
      <c r="B49" s="29" t="s">
        <v>20</v>
      </c>
      <c r="C49" s="29" t="s">
        <v>20</v>
      </c>
      <c r="D49" s="29" t="s">
        <v>20</v>
      </c>
      <c r="E49" s="29" t="s">
        <v>20</v>
      </c>
      <c r="F49" s="29"/>
      <c r="G49" s="29" t="s">
        <v>20</v>
      </c>
      <c r="H49" s="29" t="s">
        <v>20</v>
      </c>
      <c r="I49" s="29" t="s">
        <v>20</v>
      </c>
      <c r="J49" s="29" t="s">
        <v>20</v>
      </c>
      <c r="K49" s="29" t="s">
        <v>20</v>
      </c>
      <c r="L49" s="29" t="s">
        <v>20</v>
      </c>
      <c r="M49" s="29" t="s">
        <v>20</v>
      </c>
      <c r="N49" s="29" t="s">
        <v>20</v>
      </c>
      <c r="O49" s="29" t="s">
        <v>20</v>
      </c>
      <c r="P49" s="29" t="s">
        <v>20</v>
      </c>
      <c r="Q49" s="29" t="s">
        <v>20</v>
      </c>
      <c r="R49" s="29" t="s">
        <v>20</v>
      </c>
      <c r="S49" s="29" t="s">
        <v>20</v>
      </c>
      <c r="T49" s="29" t="s">
        <v>20</v>
      </c>
      <c r="U49" s="29" t="s">
        <v>20</v>
      </c>
      <c r="V49" s="29" t="s">
        <v>20</v>
      </c>
      <c r="W49" s="29" t="s">
        <v>20</v>
      </c>
      <c r="Y49" s="1">
        <f>IF(L49="FULL",IF(L50=0,IF(#REF!=0,IF(#REF!=0,IF(#REF!=0,5,4),3),2),1),IF(L49=0,Y48,1))</f>
        <v>1</v>
      </c>
    </row>
    <row r="50" spans="1:25" ht="15.75" thickBot="1" x14ac:dyDescent="0.3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21"/>
      <c r="N50" s="21"/>
      <c r="O50" s="21"/>
      <c r="P50" s="21"/>
      <c r="Q50" s="31">
        <f>SUM(Q33:Q48)</f>
        <v>68</v>
      </c>
      <c r="R50" s="31"/>
      <c r="S50" s="31">
        <f>SUM(R33:R48)</f>
        <v>68</v>
      </c>
      <c r="T50" s="31"/>
      <c r="U50" s="20"/>
      <c r="V50" s="21">
        <f>IF(COUNTIF(V33:V48,  "Segment Error")=0, IF(AND(SUM(V33:V48)&lt;50, COUNTIF(P33:P48, "YES")=0), 50, SUM(V33:V48)), "Segment Error")</f>
        <v>68</v>
      </c>
      <c r="W50" s="22">
        <f>V50*2400000</f>
        <v>163200000</v>
      </c>
      <c r="Y50" s="1">
        <f>IF(L50="FULL",IF(#REF!=0,IF(#REF!=0,IF(#REF!=0,IF(#REF!=0,5,4),3),2),1),IF(L50=0,Y49,1))</f>
        <v>1</v>
      </c>
    </row>
    <row r="51" spans="1:25" ht="27" customHeight="1" x14ac:dyDescent="0.25">
      <c r="A51" s="44" t="s">
        <v>40</v>
      </c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Y51" s="27" t="s">
        <v>17</v>
      </c>
    </row>
    <row r="52" spans="1:25" ht="15" hidden="1" customHeight="1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Y52" s="1">
        <v>1</v>
      </c>
    </row>
    <row r="53" spans="1:25" ht="15" hidden="1" customHeight="1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Y53" s="1">
        <v>1</v>
      </c>
    </row>
    <row r="54" spans="1:25" ht="15" hidden="1" customHeight="1" thickBot="1" x14ac:dyDescent="0.3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Y54" s="1">
        <v>1</v>
      </c>
    </row>
    <row r="55" spans="1:25" ht="15.75" thickBot="1" x14ac:dyDescent="0.3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Y55" s="1">
        <v>1</v>
      </c>
    </row>
    <row r="56" spans="1:25" ht="30" customHeight="1" x14ac:dyDescent="0.25">
      <c r="A56" s="37" t="s">
        <v>0</v>
      </c>
      <c r="B56" s="37" t="s">
        <v>8</v>
      </c>
      <c r="C56" s="39" t="s">
        <v>29</v>
      </c>
      <c r="D56" s="37" t="s">
        <v>28</v>
      </c>
      <c r="E56" s="37" t="s">
        <v>28</v>
      </c>
      <c r="F56" s="39" t="s">
        <v>33</v>
      </c>
      <c r="G56" s="39" t="s">
        <v>16</v>
      </c>
      <c r="H56" s="37" t="s">
        <v>9</v>
      </c>
      <c r="I56" s="39" t="s">
        <v>12</v>
      </c>
      <c r="J56" s="41" t="s">
        <v>1</v>
      </c>
      <c r="K56" s="41"/>
      <c r="L56" s="41"/>
      <c r="M56" s="37" t="s">
        <v>14</v>
      </c>
      <c r="N56" s="39" t="s">
        <v>18</v>
      </c>
      <c r="O56" s="39" t="s">
        <v>32</v>
      </c>
      <c r="P56" s="39" t="s">
        <v>21</v>
      </c>
      <c r="Q56" s="39" t="s">
        <v>30</v>
      </c>
      <c r="R56" s="39" t="s">
        <v>19</v>
      </c>
      <c r="S56" s="39" t="s">
        <v>25</v>
      </c>
      <c r="T56" s="41" t="s">
        <v>3</v>
      </c>
      <c r="U56" s="37" t="s">
        <v>4</v>
      </c>
      <c r="V56" s="37" t="s">
        <v>6</v>
      </c>
      <c r="W56" s="42" t="s">
        <v>15</v>
      </c>
      <c r="Y56" s="1">
        <v>1</v>
      </c>
    </row>
    <row r="57" spans="1:25" ht="30" customHeight="1" thickBot="1" x14ac:dyDescent="0.3">
      <c r="A57" s="38"/>
      <c r="B57" s="38"/>
      <c r="C57" s="40"/>
      <c r="D57" s="38"/>
      <c r="E57" s="38"/>
      <c r="F57" s="40"/>
      <c r="G57" s="40"/>
      <c r="H57" s="38"/>
      <c r="I57" s="40"/>
      <c r="J57" s="26" t="s">
        <v>26</v>
      </c>
      <c r="K57" s="26" t="s">
        <v>27</v>
      </c>
      <c r="L57" s="2" t="s">
        <v>2</v>
      </c>
      <c r="M57" s="38"/>
      <c r="N57" s="40"/>
      <c r="O57" s="40"/>
      <c r="P57" s="40"/>
      <c r="Q57" s="40"/>
      <c r="R57" s="40"/>
      <c r="S57" s="40"/>
      <c r="T57" s="46"/>
      <c r="U57" s="38"/>
      <c r="V57" s="38"/>
      <c r="W57" s="43"/>
      <c r="Y57" s="1">
        <v>1</v>
      </c>
    </row>
    <row r="58" spans="1:25" ht="15.75" outlineLevel="1" thickBot="1" x14ac:dyDescent="0.3">
      <c r="A58" s="12" t="s">
        <v>5</v>
      </c>
      <c r="B58" s="16"/>
      <c r="C58" s="30">
        <v>2</v>
      </c>
      <c r="D58" s="11">
        <v>18</v>
      </c>
      <c r="E58" s="11">
        <f>IF(D58="4.5 C", 4.5, IF(D58="4.8 C", 4.8, D58))</f>
        <v>18</v>
      </c>
      <c r="F58" s="11">
        <f t="shared" ref="F58:F73" si="26">IF(L58="Full", IF(Y58=1, E58*C58, E58), IF(L58="Gap", C58, E58))</f>
        <v>36</v>
      </c>
      <c r="G58" s="2">
        <f>VLOOKUP('930-4'!D58,Table1[],2,0)</f>
        <v>18</v>
      </c>
      <c r="H58" s="13">
        <f>G58*3.14*2.54</f>
        <v>143.5608</v>
      </c>
      <c r="I58" s="2">
        <f>ROUNDUP(H58, 0)</f>
        <v>144</v>
      </c>
      <c r="J58" s="12">
        <v>40</v>
      </c>
      <c r="K58" s="12">
        <v>50</v>
      </c>
      <c r="L58" s="16" t="s">
        <v>13</v>
      </c>
      <c r="M58" s="14">
        <f t="shared" ref="M58:M73" si="27">IF(L58="Gap",C58, IF(E58&lt;=3, 3*C58, IF(L58="Full", C58*E58/Y58, IF(J58=K58,"Error", IF(K58&lt;J58, C58*(I58+K58-J58)*H58*E58/(3.14*2.54*I58*G58), C58*(K58-J58)*H58*E58/(3.14*2.54*I58*G58))))))</f>
        <v>36</v>
      </c>
      <c r="N58" s="15">
        <f t="shared" ref="N58:N73" si="28">IF(L58=0,IF(L57=0,IF(L56=0,IF(L55=0,IF(L54=0,IF(L53=0,IF(L52="Segment",M58,0),IF(L53="Segment",M58,0)),IF(L54="Segment",M58,0)),IF(L55="Segment",M58,0)),IF(L56="Segment",M58,0)),IF(L57="Segment",M58,0)),M58)</f>
        <v>36</v>
      </c>
      <c r="O58" s="15" t="str">
        <f t="shared" ref="O58:O73" si="29">IF(OR(T58="REJ",T58="NOT DONE-CONTRACTOR"), "YES", "NO")</f>
        <v>NO</v>
      </c>
      <c r="P58" s="25" t="str">
        <f>IF(L58&lt;&gt;0, IF(L58="Gap", O58, IF(L59&lt;&gt;0,  IF(O58="NO", "NO", "YES"), IF(L60&lt;&gt;0, IF(AND(O58="NO", O59="NO"), "NO", "YES"), IF(L61&lt;&gt;0, IF(AND(O58="NO", O59="NO", O60="NO"), "NO", "YES"), IF(AND(O58="NO", O59="NO", O60="NO", O61="NO"), "NO", "YES"))))))</f>
        <v>NO</v>
      </c>
      <c r="Q58" s="25">
        <f>IF(L58=0,0,IF(L59&lt;&gt;0,N58,IF(L60&lt;&gt;0,N58+N59,IF(L61&lt;&gt;0,N58+N59+N60,IF(L62&lt;&gt;0,N58+N59+N60+N61,IF(L63&lt;&gt;0,N58+N59+N60+N61+N62,N58+N59+N60+N61+N62+N63))))))</f>
        <v>36</v>
      </c>
      <c r="R58" s="25">
        <f t="shared" ref="R58:R73" si="30">IF(OR(T58="ACC", T58="REP", T58="RS", T58="RT"), N58, 0)</f>
        <v>36</v>
      </c>
      <c r="S58" s="25">
        <f t="shared" ref="S58:S70" si="31">IF(L58=0, 0, IF(L59&lt;&gt;0, R58, IF(L60&lt;&gt;0, R58+R59, IF(L61&lt;&gt;0, R58+R59+R60, IF(L62&lt;&gt;0, R58+R59+R60+R61, IF(L63&lt;&gt;0, R58+R59+R60+R61+R62, R58+R59+R60+R61+R62+R63))))))</f>
        <v>36</v>
      </c>
      <c r="T58" s="12" t="s">
        <v>7</v>
      </c>
      <c r="U58" s="12" t="s">
        <v>35</v>
      </c>
      <c r="V58" s="25">
        <f t="shared" ref="V58:V73" si="32">IF(OR(S58=0, P58=FALSE), 0, IF(AND(Q58&gt;3*C58, Q58&gt;F58), "Segment Error", IF(OR(P58="YES", L58="Gap"), S58, IF(E58&lt;3, S58, IF(S58&gt;F58/2, F58, F58/2)))))</f>
        <v>36</v>
      </c>
      <c r="W58" s="10">
        <f>V58*2400000</f>
        <v>86400000</v>
      </c>
      <c r="Y58" s="1">
        <f t="shared" ref="Y58:Y71" si="33">IF(L58="FULL",IF(L59=0,IF(L60=0,IF(L61=0,IF(L62=0,5,4),3),2),1),IF(L58=0,Y57,1))</f>
        <v>1</v>
      </c>
    </row>
    <row r="59" spans="1:25" ht="15.75" outlineLevel="1" thickBot="1" x14ac:dyDescent="0.3">
      <c r="A59" s="12" t="s">
        <v>5</v>
      </c>
      <c r="B59" s="16"/>
      <c r="C59" s="30">
        <v>2</v>
      </c>
      <c r="D59" s="11">
        <v>3</v>
      </c>
      <c r="E59" s="11">
        <f t="shared" ref="E59:E73" si="34">IF(D59="4.5 C", 4.5, IF(D59="4.8 C", 4.8, D59))</f>
        <v>3</v>
      </c>
      <c r="F59" s="11">
        <f t="shared" si="26"/>
        <v>6</v>
      </c>
      <c r="G59" s="2">
        <f>VLOOKUP('930-4'!D59,Table1[],2,0)</f>
        <v>3.5</v>
      </c>
      <c r="H59" s="13">
        <f t="shared" ref="H59:H73" si="35">G59*3.14*2.54</f>
        <v>27.9146</v>
      </c>
      <c r="I59" s="2">
        <f t="shared" ref="I59:I73" si="36">ROUNDUP(H59, 0)</f>
        <v>28</v>
      </c>
      <c r="J59" s="12">
        <v>4</v>
      </c>
      <c r="K59" s="12">
        <v>13</v>
      </c>
      <c r="L59" s="16" t="s">
        <v>13</v>
      </c>
      <c r="M59" s="14">
        <f t="shared" si="27"/>
        <v>6</v>
      </c>
      <c r="N59" s="15">
        <f t="shared" si="28"/>
        <v>6</v>
      </c>
      <c r="O59" s="15" t="str">
        <f t="shared" si="29"/>
        <v>NO</v>
      </c>
      <c r="P59" s="25" t="str">
        <f>IF(L59&lt;&gt;0, IF(L59="Gap", O59, IF(L60&lt;&gt;0,  IF(O59="NO", "NO", "YES"), IF(L61&lt;&gt;0, IF(AND(O59="NO", O60="NO"), "NO", "YES"), IF(L62&lt;&gt;0, IF(AND(O59="NO", O60="NO", O61="NO"), "NO", "YES"), IF(AND(O59="NO", O60="NO", O61="NO", O62="NO"), "NO", "YES"))))))</f>
        <v>NO</v>
      </c>
      <c r="Q59" s="25">
        <f t="shared" ref="Q59:Q70" si="37">IF(L59=0,0,IF(L60&lt;&gt;0,N59,IF(L61&lt;&gt;0,N59+N60,IF(L62&lt;&gt;0,N59+N60+N61,IF(L63&lt;&gt;0,N59+N60+N61+N62,IF(L64&lt;&gt;0,N59+N60+N61+N62+N63,N59+N60+N61+N62+N63+N64))))))</f>
        <v>6</v>
      </c>
      <c r="R59" s="25">
        <f t="shared" si="30"/>
        <v>6</v>
      </c>
      <c r="S59" s="25">
        <f t="shared" si="31"/>
        <v>6</v>
      </c>
      <c r="T59" s="12" t="s">
        <v>7</v>
      </c>
      <c r="U59" s="12" t="s">
        <v>35</v>
      </c>
      <c r="V59" s="25">
        <f t="shared" si="32"/>
        <v>6</v>
      </c>
      <c r="W59" s="10">
        <f t="shared" ref="W59:W73" si="38">V59*2400000</f>
        <v>14400000</v>
      </c>
      <c r="Y59" s="1">
        <f t="shared" si="33"/>
        <v>1</v>
      </c>
    </row>
    <row r="60" spans="1:25" ht="15.75" outlineLevel="1" thickBot="1" x14ac:dyDescent="0.3">
      <c r="A60" s="12" t="s">
        <v>5</v>
      </c>
      <c r="B60" s="16"/>
      <c r="C60" s="30">
        <v>0</v>
      </c>
      <c r="D60" s="11">
        <v>6</v>
      </c>
      <c r="E60" s="11">
        <f t="shared" si="34"/>
        <v>6</v>
      </c>
      <c r="F60" s="11">
        <f t="shared" si="26"/>
        <v>0</v>
      </c>
      <c r="G60" s="2">
        <f>VLOOKUP('930-4'!D60,Table1[],2,0)</f>
        <v>6.625</v>
      </c>
      <c r="H60" s="13">
        <f t="shared" si="35"/>
        <v>52.838350000000005</v>
      </c>
      <c r="I60" s="2">
        <f t="shared" si="36"/>
        <v>53</v>
      </c>
      <c r="J60" s="12">
        <v>4</v>
      </c>
      <c r="K60" s="12">
        <v>13</v>
      </c>
      <c r="L60" s="16" t="s">
        <v>13</v>
      </c>
      <c r="M60" s="14">
        <f t="shared" si="27"/>
        <v>0</v>
      </c>
      <c r="N60" s="15">
        <f t="shared" si="28"/>
        <v>0</v>
      </c>
      <c r="O60" s="15" t="str">
        <f t="shared" si="29"/>
        <v>NO</v>
      </c>
      <c r="P60" s="25" t="str">
        <f>IF(L60&lt;&gt;0, IF(L60="Gap", O60, IF(L61&lt;&gt;0,  IF(O60="NO", "NO", "YES"), IF(L62&lt;&gt;0, IF(AND(O60="NO", O61="NO"), "NO", "YES"), IF(L68&lt;&gt;0, IF(AND(O60="NO", O61="NO", O62="NO"), "NO", "YES"), IF(AND(O60="NO", O61="NO", O62="NO", O68="NO"), "NO", "YES"))))))</f>
        <v>NO</v>
      </c>
      <c r="Q60" s="25">
        <f t="shared" si="37"/>
        <v>0</v>
      </c>
      <c r="R60" s="25">
        <f t="shared" si="30"/>
        <v>0</v>
      </c>
      <c r="S60" s="25">
        <f t="shared" si="31"/>
        <v>0</v>
      </c>
      <c r="T60" s="12" t="s">
        <v>7</v>
      </c>
      <c r="U60" s="12" t="s">
        <v>35</v>
      </c>
      <c r="V60" s="25">
        <f t="shared" si="32"/>
        <v>0</v>
      </c>
      <c r="W60" s="10">
        <f t="shared" si="38"/>
        <v>0</v>
      </c>
      <c r="X60" s="33"/>
      <c r="Y60" s="1">
        <f t="shared" si="33"/>
        <v>1</v>
      </c>
    </row>
    <row r="61" spans="1:25" ht="15.75" outlineLevel="1" thickBot="1" x14ac:dyDescent="0.3">
      <c r="A61" s="12" t="s">
        <v>5</v>
      </c>
      <c r="B61" s="16"/>
      <c r="C61" s="30">
        <v>0</v>
      </c>
      <c r="D61" s="11">
        <v>28</v>
      </c>
      <c r="E61" s="11">
        <f t="shared" si="34"/>
        <v>28</v>
      </c>
      <c r="F61" s="11">
        <f t="shared" si="26"/>
        <v>0</v>
      </c>
      <c r="G61" s="2">
        <f>VLOOKUP('930-4'!D61,Table1[],2,0)</f>
        <v>28</v>
      </c>
      <c r="H61" s="13">
        <f t="shared" si="35"/>
        <v>223.3168</v>
      </c>
      <c r="I61" s="2">
        <f t="shared" si="36"/>
        <v>224</v>
      </c>
      <c r="J61" s="12">
        <v>20</v>
      </c>
      <c r="K61" s="12">
        <v>40</v>
      </c>
      <c r="L61" s="16" t="s">
        <v>13</v>
      </c>
      <c r="M61" s="14">
        <f t="shared" si="27"/>
        <v>0</v>
      </c>
      <c r="N61" s="15">
        <f t="shared" si="28"/>
        <v>0</v>
      </c>
      <c r="O61" s="15" t="str">
        <f t="shared" si="29"/>
        <v>NO</v>
      </c>
      <c r="P61" s="25" t="str">
        <f>IF(L61&lt;&gt;0, IF(L61="Gap", O61, IF(L62&lt;&gt;0,  IF(O61="NO", "NO", "YES"), IF(L68&lt;&gt;0, IF(AND(O61="NO", O62="NO"), "NO", "YES"), IF(L69&lt;&gt;0, IF(AND(O61="NO", O62="NO", O68="NO"), "NO", "YES"), IF(AND(O61="NO", O62="NO", O68="NO", O69="NO"), "NO", "YES"))))))</f>
        <v>NO</v>
      </c>
      <c r="Q61" s="25">
        <f t="shared" si="37"/>
        <v>0</v>
      </c>
      <c r="R61" s="25">
        <f t="shared" si="30"/>
        <v>0</v>
      </c>
      <c r="S61" s="25">
        <f t="shared" si="31"/>
        <v>0</v>
      </c>
      <c r="T61" s="12" t="s">
        <v>7</v>
      </c>
      <c r="U61" s="12" t="s">
        <v>35</v>
      </c>
      <c r="V61" s="25">
        <f t="shared" si="32"/>
        <v>0</v>
      </c>
      <c r="W61" s="10">
        <f t="shared" si="38"/>
        <v>0</v>
      </c>
      <c r="Y61" s="1">
        <f t="shared" si="33"/>
        <v>1</v>
      </c>
    </row>
    <row r="62" spans="1:25" ht="15.75" outlineLevel="1" thickBot="1" x14ac:dyDescent="0.3">
      <c r="A62" s="12" t="s">
        <v>5</v>
      </c>
      <c r="B62" s="16"/>
      <c r="C62" s="30">
        <v>0</v>
      </c>
      <c r="D62" s="11">
        <v>10</v>
      </c>
      <c r="E62" s="11">
        <f t="shared" si="34"/>
        <v>10</v>
      </c>
      <c r="F62" s="11">
        <f t="shared" si="26"/>
        <v>0</v>
      </c>
      <c r="G62" s="2">
        <f>VLOOKUP('930-4'!D62,Table1[],2,0)</f>
        <v>10.75</v>
      </c>
      <c r="H62" s="13">
        <f t="shared" si="35"/>
        <v>85.737700000000004</v>
      </c>
      <c r="I62" s="2">
        <f t="shared" si="36"/>
        <v>86</v>
      </c>
      <c r="J62" s="12">
        <v>65</v>
      </c>
      <c r="K62" s="12">
        <v>85</v>
      </c>
      <c r="L62" s="16" t="s">
        <v>13</v>
      </c>
      <c r="M62" s="14">
        <f t="shared" si="27"/>
        <v>0</v>
      </c>
      <c r="N62" s="15">
        <f t="shared" si="28"/>
        <v>0</v>
      </c>
      <c r="O62" s="15" t="str">
        <f t="shared" si="29"/>
        <v>NO</v>
      </c>
      <c r="P62" s="25" t="str">
        <f>IF(L62&lt;&gt;0, IF(L62="Gap", O62, IF(L68&lt;&gt;0,  IF(O62="NO", "NO", "YES"), IF(L69&lt;&gt;0, IF(AND(O62="NO", O68="NO"), "NO", "YES"), IF(L70&lt;&gt;0, IF(AND(O62="NO", O68="NO", O69="NO"), "NO", "YES"), IF(AND(O62="NO", O68="NO", O69="NO", O70="NO"), "NO", "YES"))))))</f>
        <v>NO</v>
      </c>
      <c r="Q62" s="25">
        <f t="shared" si="37"/>
        <v>0</v>
      </c>
      <c r="R62" s="25">
        <f t="shared" si="30"/>
        <v>0</v>
      </c>
      <c r="S62" s="25">
        <f t="shared" si="31"/>
        <v>0</v>
      </c>
      <c r="T62" s="12" t="s">
        <v>7</v>
      </c>
      <c r="U62" s="12" t="s">
        <v>35</v>
      </c>
      <c r="V62" s="25">
        <f t="shared" si="32"/>
        <v>0</v>
      </c>
      <c r="W62" s="10">
        <f t="shared" si="38"/>
        <v>0</v>
      </c>
      <c r="Y62" s="1">
        <f t="shared" si="33"/>
        <v>1</v>
      </c>
    </row>
    <row r="63" spans="1:25" ht="15.75" outlineLevel="1" thickBot="1" x14ac:dyDescent="0.3">
      <c r="A63" s="12" t="s">
        <v>5</v>
      </c>
      <c r="B63" s="32"/>
      <c r="C63" s="30">
        <v>0</v>
      </c>
      <c r="D63" s="11">
        <v>10</v>
      </c>
      <c r="E63" s="11">
        <f t="shared" si="34"/>
        <v>10</v>
      </c>
      <c r="F63" s="11">
        <f t="shared" si="26"/>
        <v>0</v>
      </c>
      <c r="G63" s="2">
        <f>VLOOKUP('930-4'!D63,Table1[],2,0)</f>
        <v>10.75</v>
      </c>
      <c r="H63" s="13">
        <f t="shared" si="35"/>
        <v>85.737700000000004</v>
      </c>
      <c r="I63" s="2">
        <f t="shared" si="36"/>
        <v>86</v>
      </c>
      <c r="J63" s="12">
        <v>40</v>
      </c>
      <c r="K63" s="12">
        <v>125</v>
      </c>
      <c r="L63" s="16" t="s">
        <v>13</v>
      </c>
      <c r="M63" s="14">
        <f t="shared" si="27"/>
        <v>0</v>
      </c>
      <c r="N63" s="15">
        <f t="shared" si="28"/>
        <v>0</v>
      </c>
      <c r="O63" s="15" t="str">
        <f t="shared" si="29"/>
        <v>NO</v>
      </c>
      <c r="P63" s="25" t="str">
        <f>IF(L63&lt;&gt;0, IF(L63="Gap", O63, IF(L64&lt;&gt;0,  IF(O63="NO", "NO", "YES"), IF(L65&lt;&gt;0, IF(AND(O63="NO", O64="NO"), "NO", "YES"), IF(L66&lt;&gt;0, IF(AND(O63="NO", O64="NO", O65="NO"), "NO", "YES"), IF(AND(O63="NO", O64="NO", O65="NO", O66="NO"), "NO", "YES"))))))</f>
        <v>NO</v>
      </c>
      <c r="Q63" s="25">
        <f t="shared" si="37"/>
        <v>0</v>
      </c>
      <c r="R63" s="25">
        <f t="shared" si="30"/>
        <v>0</v>
      </c>
      <c r="S63" s="25">
        <f t="shared" si="31"/>
        <v>0</v>
      </c>
      <c r="T63" s="12" t="s">
        <v>7</v>
      </c>
      <c r="U63" s="12" t="s">
        <v>35</v>
      </c>
      <c r="V63" s="25">
        <f t="shared" si="32"/>
        <v>0</v>
      </c>
      <c r="W63" s="10">
        <f t="shared" si="38"/>
        <v>0</v>
      </c>
      <c r="Y63" s="1">
        <f t="shared" si="33"/>
        <v>1</v>
      </c>
    </row>
    <row r="64" spans="1:25" ht="15.75" outlineLevel="1" thickBot="1" x14ac:dyDescent="0.3">
      <c r="A64" s="12" t="s">
        <v>5</v>
      </c>
      <c r="B64" s="16"/>
      <c r="C64" s="30">
        <v>0</v>
      </c>
      <c r="D64" s="11">
        <v>6</v>
      </c>
      <c r="E64" s="11">
        <f t="shared" si="34"/>
        <v>6</v>
      </c>
      <c r="F64" s="11">
        <f t="shared" si="26"/>
        <v>6</v>
      </c>
      <c r="G64" s="2">
        <f>VLOOKUP('930-4'!D64,Table1[],2,0)</f>
        <v>6.625</v>
      </c>
      <c r="H64" s="13">
        <f t="shared" si="35"/>
        <v>52.838350000000005</v>
      </c>
      <c r="I64" s="2">
        <f t="shared" si="36"/>
        <v>53</v>
      </c>
      <c r="J64" s="12">
        <v>40</v>
      </c>
      <c r="K64" s="12">
        <v>125</v>
      </c>
      <c r="L64" s="16" t="s">
        <v>34</v>
      </c>
      <c r="M64" s="14">
        <f t="shared" si="27"/>
        <v>0</v>
      </c>
      <c r="N64" s="15">
        <f t="shared" si="28"/>
        <v>0</v>
      </c>
      <c r="O64" s="15" t="str">
        <f t="shared" si="29"/>
        <v>NO</v>
      </c>
      <c r="P64" s="25" t="str">
        <f>IF(L64&lt;&gt;0, IF(L64="Gap", O64, IF(L65&lt;&gt;0,  IF(O64="NO", "NO", "YES"), IF(L66&lt;&gt;0, IF(AND(O64="NO", O65="NO"), "NO", "YES"), IF(L68&lt;&gt;0, IF(AND(O64="NO", O65="NO", O66="NO"), "NO", "YES"), IF(AND(O64="NO", O65="NO", O66="NO", O68="NO"), "NO", "YES"))))))</f>
        <v>NO</v>
      </c>
      <c r="Q64" s="25">
        <f t="shared" si="37"/>
        <v>0</v>
      </c>
      <c r="R64" s="25">
        <f t="shared" si="30"/>
        <v>0</v>
      </c>
      <c r="S64" s="25">
        <f t="shared" si="31"/>
        <v>0</v>
      </c>
      <c r="T64" s="12" t="s">
        <v>7</v>
      </c>
      <c r="U64" s="12" t="s">
        <v>35</v>
      </c>
      <c r="V64" s="25">
        <f t="shared" si="32"/>
        <v>0</v>
      </c>
      <c r="W64" s="10">
        <f t="shared" si="38"/>
        <v>0</v>
      </c>
      <c r="Y64" s="1">
        <f t="shared" si="33"/>
        <v>1</v>
      </c>
    </row>
    <row r="65" spans="1:25" ht="15.75" outlineLevel="1" thickBot="1" x14ac:dyDescent="0.3">
      <c r="A65" s="12" t="s">
        <v>5</v>
      </c>
      <c r="B65" s="16"/>
      <c r="C65" s="30">
        <v>0</v>
      </c>
      <c r="D65" s="11">
        <v>18</v>
      </c>
      <c r="E65" s="11">
        <f t="shared" si="34"/>
        <v>18</v>
      </c>
      <c r="F65" s="11">
        <f t="shared" si="26"/>
        <v>18</v>
      </c>
      <c r="G65" s="2">
        <f>VLOOKUP('930-4'!D65,Table1[],2,0)</f>
        <v>18</v>
      </c>
      <c r="H65" s="13">
        <f t="shared" si="35"/>
        <v>143.5608</v>
      </c>
      <c r="I65" s="2">
        <f t="shared" si="36"/>
        <v>144</v>
      </c>
      <c r="J65" s="12">
        <v>40</v>
      </c>
      <c r="K65" s="12">
        <v>45</v>
      </c>
      <c r="L65" s="34" t="s">
        <v>34</v>
      </c>
      <c r="M65" s="14">
        <f t="shared" si="27"/>
        <v>0</v>
      </c>
      <c r="N65" s="15">
        <f t="shared" si="28"/>
        <v>0</v>
      </c>
      <c r="O65" s="15" t="str">
        <f t="shared" si="29"/>
        <v>NO</v>
      </c>
      <c r="P65" s="25" t="str">
        <f>IF(L65&lt;&gt;0, IF(L65="Gap", O65, IF(L66&lt;&gt;0,  IF(O65="NO", "NO", "YES"), IF(L68&lt;&gt;0, IF(AND(O65="NO", O66="NO"), "NO", "YES"), IF(L69&lt;&gt;0, IF(AND(O65="NO", O66="NO", O68="NO"), "NO", "YES"), IF(AND(O65="NO", O66="NO", O68="NO", O69="NO"), "NO", "YES"))))))</f>
        <v>NO</v>
      </c>
      <c r="Q65" s="25">
        <f t="shared" si="37"/>
        <v>0</v>
      </c>
      <c r="R65" s="25">
        <f t="shared" si="30"/>
        <v>0</v>
      </c>
      <c r="S65" s="25">
        <f t="shared" si="31"/>
        <v>0</v>
      </c>
      <c r="T65" s="12" t="s">
        <v>7</v>
      </c>
      <c r="U65" s="12" t="s">
        <v>35</v>
      </c>
      <c r="V65" s="25">
        <f t="shared" si="32"/>
        <v>0</v>
      </c>
      <c r="W65" s="10">
        <f t="shared" si="38"/>
        <v>0</v>
      </c>
      <c r="Y65" s="1">
        <f t="shared" si="33"/>
        <v>1</v>
      </c>
    </row>
    <row r="66" spans="1:25" ht="15.75" outlineLevel="1" thickBot="1" x14ac:dyDescent="0.3">
      <c r="A66" s="16" t="s">
        <v>5</v>
      </c>
      <c r="B66" s="16"/>
      <c r="C66" s="30">
        <v>0</v>
      </c>
      <c r="D66" s="17">
        <v>18</v>
      </c>
      <c r="E66" s="11">
        <f t="shared" si="34"/>
        <v>18</v>
      </c>
      <c r="F66" s="11">
        <f t="shared" si="26"/>
        <v>18</v>
      </c>
      <c r="G66" s="2">
        <f>VLOOKUP('930-4'!D66,Table1[],2,0)</f>
        <v>18</v>
      </c>
      <c r="H66" s="19">
        <f t="shared" si="35"/>
        <v>143.5608</v>
      </c>
      <c r="I66" s="18">
        <f t="shared" si="36"/>
        <v>144</v>
      </c>
      <c r="J66" s="12">
        <v>40</v>
      </c>
      <c r="K66" s="12">
        <v>10</v>
      </c>
      <c r="L66" s="35"/>
      <c r="M66" s="14">
        <f t="shared" si="27"/>
        <v>0</v>
      </c>
      <c r="N66" s="15">
        <f t="shared" si="28"/>
        <v>0</v>
      </c>
      <c r="O66" s="15" t="str">
        <f t="shared" si="29"/>
        <v>NO</v>
      </c>
      <c r="P66" s="25" t="b">
        <f>IF(L66&lt;&gt;0, IF(L66="Gap", O66, IF(L68&lt;&gt;0,  IF(O66="NO", "NO", "YES"), IF(L69&lt;&gt;0, IF(AND(O66="NO", O68="NO"), "NO", "YES"), IF(L70&lt;&gt;0, IF(AND(O66="NO", O68="NO", O69="NO"), "NO", "YES"), IF(AND(O66="NO", O68="NO", O69="NO", O70="NO"), "NO", "YES"))))))</f>
        <v>0</v>
      </c>
      <c r="Q66" s="25">
        <f t="shared" si="37"/>
        <v>0</v>
      </c>
      <c r="R66" s="25">
        <f t="shared" si="30"/>
        <v>0</v>
      </c>
      <c r="S66" s="25">
        <f t="shared" si="31"/>
        <v>0</v>
      </c>
      <c r="T66" s="12" t="s">
        <v>7</v>
      </c>
      <c r="U66" s="12" t="s">
        <v>35</v>
      </c>
      <c r="V66" s="25">
        <f t="shared" si="32"/>
        <v>0</v>
      </c>
      <c r="W66" s="10">
        <f t="shared" si="38"/>
        <v>0</v>
      </c>
      <c r="Y66" s="1">
        <f t="shared" si="33"/>
        <v>1</v>
      </c>
    </row>
    <row r="67" spans="1:25" ht="15.75" outlineLevel="1" thickBot="1" x14ac:dyDescent="0.3">
      <c r="A67" s="12" t="s">
        <v>5</v>
      </c>
      <c r="B67" s="16"/>
      <c r="C67" s="30">
        <v>0</v>
      </c>
      <c r="D67" s="11">
        <v>10</v>
      </c>
      <c r="E67" s="11">
        <f t="shared" si="34"/>
        <v>10</v>
      </c>
      <c r="F67" s="11">
        <f t="shared" si="26"/>
        <v>0</v>
      </c>
      <c r="G67" s="2">
        <f>VLOOKUP('930-4'!D67,Table1[],2,0)</f>
        <v>10.75</v>
      </c>
      <c r="H67" s="13">
        <f t="shared" si="35"/>
        <v>85.737700000000004</v>
      </c>
      <c r="I67" s="2">
        <f t="shared" si="36"/>
        <v>86</v>
      </c>
      <c r="J67" s="12">
        <v>40</v>
      </c>
      <c r="K67" s="12">
        <v>35</v>
      </c>
      <c r="L67" s="16" t="s">
        <v>13</v>
      </c>
      <c r="M67" s="14">
        <f t="shared" si="27"/>
        <v>0</v>
      </c>
      <c r="N67" s="15">
        <f t="shared" si="28"/>
        <v>0</v>
      </c>
      <c r="O67" s="15" t="str">
        <f t="shared" si="29"/>
        <v>NO</v>
      </c>
      <c r="P67" s="25" t="str">
        <f>IF(L67&lt;&gt;0, IF(L67="Gap", O67, IF(L73&lt;&gt;0,  IF(O67="NO", "NO", "YES"), IF(L74&lt;&gt;0, IF(AND(O67="NO", O73="NO"), "NO", "YES"), IF(L75&lt;&gt;0, IF(AND(O67="NO", O73="NO", O74="NO"), "NO", "YES"), IF(AND(O67="NO", O73="NO", O74="NO", O75="NO"), "NO", "YES"))))))</f>
        <v>NO</v>
      </c>
      <c r="Q67" s="25">
        <f t="shared" si="37"/>
        <v>0</v>
      </c>
      <c r="R67" s="25">
        <f t="shared" si="30"/>
        <v>0</v>
      </c>
      <c r="S67" s="25">
        <f t="shared" si="31"/>
        <v>0</v>
      </c>
      <c r="T67" s="12" t="s">
        <v>7</v>
      </c>
      <c r="U67" s="12" t="s">
        <v>35</v>
      </c>
      <c r="V67" s="25">
        <f t="shared" si="32"/>
        <v>0</v>
      </c>
      <c r="W67" s="10">
        <f t="shared" si="38"/>
        <v>0</v>
      </c>
      <c r="Y67" s="1">
        <f t="shared" si="33"/>
        <v>1</v>
      </c>
    </row>
    <row r="68" spans="1:25" ht="15.75" outlineLevel="1" thickBot="1" x14ac:dyDescent="0.3">
      <c r="A68" s="12" t="s">
        <v>5</v>
      </c>
      <c r="B68" s="32"/>
      <c r="C68" s="30">
        <v>0</v>
      </c>
      <c r="D68" s="11">
        <v>10</v>
      </c>
      <c r="E68" s="11">
        <f t="shared" si="34"/>
        <v>10</v>
      </c>
      <c r="F68" s="11">
        <f t="shared" si="26"/>
        <v>10</v>
      </c>
      <c r="G68" s="2">
        <f>VLOOKUP('930-4'!D68,Table1[],2,0)</f>
        <v>10.75</v>
      </c>
      <c r="H68" s="13">
        <f t="shared" si="35"/>
        <v>85.737700000000004</v>
      </c>
      <c r="I68" s="2">
        <f t="shared" si="36"/>
        <v>86</v>
      </c>
      <c r="J68" s="12">
        <v>40</v>
      </c>
      <c r="K68" s="12">
        <v>50</v>
      </c>
      <c r="L68" s="34" t="s">
        <v>34</v>
      </c>
      <c r="M68" s="14">
        <f t="shared" si="27"/>
        <v>0</v>
      </c>
      <c r="N68" s="15">
        <f t="shared" si="28"/>
        <v>0</v>
      </c>
      <c r="O68" s="15" t="str">
        <f t="shared" si="29"/>
        <v>NO</v>
      </c>
      <c r="P68" s="25" t="str">
        <f>IF(L68&lt;&gt;0, IF(L68="Gap", O68, IF(L69&lt;&gt;0,  IF(O68="NO", "NO", "YES"), IF(L70&lt;&gt;0, IF(AND(O68="NO", O69="NO"), "NO", "YES"), IF(L71&lt;&gt;0, IF(AND(O68="NO", O69="NO", O70="NO"), "NO", "YES"), IF(AND(O68="NO", O69="NO", O70="NO", O71="NO"), "NO", "YES"))))))</f>
        <v>NO</v>
      </c>
      <c r="Q68" s="25">
        <f t="shared" si="37"/>
        <v>0</v>
      </c>
      <c r="R68" s="25">
        <f t="shared" si="30"/>
        <v>0</v>
      </c>
      <c r="S68" s="25">
        <f t="shared" si="31"/>
        <v>0</v>
      </c>
      <c r="T68" s="12" t="s">
        <v>7</v>
      </c>
      <c r="U68" s="12" t="s">
        <v>35</v>
      </c>
      <c r="V68" s="25">
        <f t="shared" si="32"/>
        <v>0</v>
      </c>
      <c r="W68" s="10">
        <f t="shared" si="38"/>
        <v>0</v>
      </c>
      <c r="Y68" s="1">
        <f t="shared" si="33"/>
        <v>1</v>
      </c>
    </row>
    <row r="69" spans="1:25" ht="15.75" outlineLevel="1" thickBot="1" x14ac:dyDescent="0.3">
      <c r="A69" s="12" t="s">
        <v>5</v>
      </c>
      <c r="B69" s="16"/>
      <c r="C69" s="30">
        <v>0</v>
      </c>
      <c r="D69" s="11">
        <v>10</v>
      </c>
      <c r="E69" s="11">
        <f t="shared" si="34"/>
        <v>10</v>
      </c>
      <c r="F69" s="11">
        <f t="shared" si="26"/>
        <v>10</v>
      </c>
      <c r="G69" s="2">
        <f>VLOOKUP('930-4'!D69,Table1[],2,0)</f>
        <v>10.75</v>
      </c>
      <c r="H69" s="13">
        <f t="shared" si="35"/>
        <v>85.737700000000004</v>
      </c>
      <c r="I69" s="2">
        <f t="shared" si="36"/>
        <v>86</v>
      </c>
      <c r="J69" s="12">
        <v>40</v>
      </c>
      <c r="K69" s="12">
        <v>80</v>
      </c>
      <c r="L69" s="35"/>
      <c r="M69" s="14">
        <f t="shared" si="27"/>
        <v>0</v>
      </c>
      <c r="N69" s="15">
        <f t="shared" si="28"/>
        <v>0</v>
      </c>
      <c r="O69" s="15" t="str">
        <f t="shared" si="29"/>
        <v>NO</v>
      </c>
      <c r="P69" s="25" t="b">
        <f>IF(L69&lt;&gt;0, IF(L69="Gap", O69, IF(L70&lt;&gt;0,  IF(O69="NO", "NO", "YES"), IF(L71&lt;&gt;0, IF(AND(O69="NO", O70="NO"), "NO", "YES"), IF(L73&lt;&gt;0, IF(AND(O69="NO", O70="NO", O71="NO"), "NO", "YES"), IF(AND(O69="NO", O70="NO", O71="NO", O73="NO"), "NO", "YES"))))))</f>
        <v>0</v>
      </c>
      <c r="Q69" s="25">
        <f t="shared" si="37"/>
        <v>0</v>
      </c>
      <c r="R69" s="25">
        <f t="shared" si="30"/>
        <v>0</v>
      </c>
      <c r="S69" s="25">
        <f t="shared" si="31"/>
        <v>0</v>
      </c>
      <c r="T69" s="12" t="s">
        <v>7</v>
      </c>
      <c r="U69" s="12" t="s">
        <v>35</v>
      </c>
      <c r="V69" s="25">
        <f t="shared" si="32"/>
        <v>0</v>
      </c>
      <c r="W69" s="10">
        <f t="shared" si="38"/>
        <v>0</v>
      </c>
      <c r="Y69" s="1">
        <f t="shared" si="33"/>
        <v>1</v>
      </c>
    </row>
    <row r="70" spans="1:25" ht="15.75" outlineLevel="1" thickBot="1" x14ac:dyDescent="0.3">
      <c r="A70" s="12" t="s">
        <v>5</v>
      </c>
      <c r="B70" s="16"/>
      <c r="C70" s="30">
        <v>0</v>
      </c>
      <c r="D70" s="11">
        <v>10</v>
      </c>
      <c r="E70" s="11">
        <f t="shared" si="34"/>
        <v>10</v>
      </c>
      <c r="F70" s="11">
        <f t="shared" si="26"/>
        <v>10</v>
      </c>
      <c r="G70" s="2">
        <f>VLOOKUP('930-4'!D70,Table1[],2,0)</f>
        <v>10.75</v>
      </c>
      <c r="H70" s="13">
        <f t="shared" si="35"/>
        <v>85.737700000000004</v>
      </c>
      <c r="I70" s="2">
        <f t="shared" si="36"/>
        <v>86</v>
      </c>
      <c r="J70" s="12">
        <v>40</v>
      </c>
      <c r="K70" s="12">
        <v>55</v>
      </c>
      <c r="L70" s="34" t="s">
        <v>34</v>
      </c>
      <c r="M70" s="14">
        <f t="shared" si="27"/>
        <v>0</v>
      </c>
      <c r="N70" s="15">
        <f t="shared" si="28"/>
        <v>0</v>
      </c>
      <c r="O70" s="15" t="str">
        <f t="shared" si="29"/>
        <v>NO</v>
      </c>
      <c r="P70" s="25" t="str">
        <f>IF(L70&lt;&gt;0, IF(L70="Gap", O70, IF(L71&lt;&gt;0,  IF(O70="NO", "NO", "YES"), IF(L73&lt;&gt;0, IF(AND(O70="NO", O71="NO"), "NO", "YES"), IF(L74&lt;&gt;0, IF(AND(O70="NO", O71="NO", O73="NO"), "NO", "YES"), IF(AND(O70="NO", O71="NO", O73="NO", O74="NO"), "NO", "YES"))))))</f>
        <v>NO</v>
      </c>
      <c r="Q70" s="25">
        <f t="shared" si="37"/>
        <v>0</v>
      </c>
      <c r="R70" s="25">
        <f t="shared" si="30"/>
        <v>0</v>
      </c>
      <c r="S70" s="25">
        <f t="shared" si="31"/>
        <v>0</v>
      </c>
      <c r="T70" s="12" t="s">
        <v>7</v>
      </c>
      <c r="U70" s="12" t="s">
        <v>35</v>
      </c>
      <c r="V70" s="25">
        <f t="shared" si="32"/>
        <v>0</v>
      </c>
      <c r="W70" s="10">
        <f t="shared" si="38"/>
        <v>0</v>
      </c>
      <c r="Y70" s="1">
        <f t="shared" si="33"/>
        <v>1</v>
      </c>
    </row>
    <row r="71" spans="1:25" ht="15.75" outlineLevel="1" thickBot="1" x14ac:dyDescent="0.3">
      <c r="A71" s="16" t="s">
        <v>5</v>
      </c>
      <c r="B71" s="16"/>
      <c r="C71" s="30">
        <v>0</v>
      </c>
      <c r="D71" s="17">
        <v>10</v>
      </c>
      <c r="E71" s="11">
        <f t="shared" si="34"/>
        <v>10</v>
      </c>
      <c r="F71" s="11">
        <f t="shared" si="26"/>
        <v>10</v>
      </c>
      <c r="G71" s="2">
        <f>VLOOKUP('930-4'!D71,Table1[],2,0)</f>
        <v>10.75</v>
      </c>
      <c r="H71" s="19">
        <f t="shared" si="35"/>
        <v>85.737700000000004</v>
      </c>
      <c r="I71" s="18">
        <f t="shared" si="36"/>
        <v>86</v>
      </c>
      <c r="J71" s="12">
        <v>40</v>
      </c>
      <c r="K71" s="12">
        <v>75</v>
      </c>
      <c r="L71" s="35"/>
      <c r="M71" s="14">
        <f t="shared" si="27"/>
        <v>0</v>
      </c>
      <c r="N71" s="15">
        <f t="shared" si="28"/>
        <v>0</v>
      </c>
      <c r="O71" s="15" t="str">
        <f t="shared" si="29"/>
        <v>NO</v>
      </c>
      <c r="P71" s="25" t="b">
        <f>IF(L71&lt;&gt;0, IF(L71="Gap", O71, IF(L73&lt;&gt;0,  IF(O71="NO", "NO", "YES"), IF(L74&lt;&gt;0, IF(AND(O71="NO", O73="NO"), "NO", "YES"), IF(L75&lt;&gt;0, IF(AND(O71="NO", O73="NO", O74="NO"), "NO", "YES"), IF(AND(O71="NO", O73="NO", O74="NO", O75="NO"), "NO", "YES"))))))</f>
        <v>0</v>
      </c>
      <c r="Q71" s="25">
        <f>IF(L71=0,0,IF(L72&lt;&gt;0,N71,IF(L73&lt;&gt;0,N71+N72,IF(L74&lt;&gt;0,N71+N72+N73,IF(L75&lt;&gt;0,N71+N72+N73+N74,IF(#REF!&lt;&gt;0,N71+N72+N73+N74+N75,N71+N72+N73+N74+N75+#REF!))))))</f>
        <v>0</v>
      </c>
      <c r="R71" s="25">
        <f t="shared" si="30"/>
        <v>0</v>
      </c>
      <c r="S71" s="25">
        <f>IF(L71=0, 0, IF(L72&lt;&gt;0, R71, IF(L73&lt;&gt;0, R71+R72, IF(L74&lt;&gt;0, R71+R72+R73, IF(L75&lt;&gt;0, R71+R72+R73+R74, IF(#REF!&lt;&gt;0, R71+R72+R73+R74+R75, R71+R72+R73+R74+R75+#REF!))))))</f>
        <v>0</v>
      </c>
      <c r="T71" s="12" t="s">
        <v>7</v>
      </c>
      <c r="U71" s="12" t="s">
        <v>35</v>
      </c>
      <c r="V71" s="25">
        <f t="shared" si="32"/>
        <v>0</v>
      </c>
      <c r="W71" s="10">
        <f t="shared" si="38"/>
        <v>0</v>
      </c>
      <c r="Y71" s="1">
        <f t="shared" si="33"/>
        <v>1</v>
      </c>
    </row>
    <row r="72" spans="1:25" ht="15.75" outlineLevel="1" thickBot="1" x14ac:dyDescent="0.3">
      <c r="A72" s="16"/>
      <c r="B72" s="16"/>
      <c r="C72" s="30">
        <v>0</v>
      </c>
      <c r="D72" s="17">
        <v>10</v>
      </c>
      <c r="E72" s="11">
        <f t="shared" si="34"/>
        <v>10</v>
      </c>
      <c r="F72" s="11">
        <f t="shared" si="26"/>
        <v>0</v>
      </c>
      <c r="G72" s="2">
        <f>VLOOKUP('930-4'!D72,Table1[],2,0)</f>
        <v>10.75</v>
      </c>
      <c r="H72" s="19">
        <f t="shared" si="35"/>
        <v>85.737700000000004</v>
      </c>
      <c r="I72" s="18">
        <f t="shared" si="36"/>
        <v>86</v>
      </c>
      <c r="J72" s="12">
        <v>40</v>
      </c>
      <c r="K72" s="12">
        <v>45</v>
      </c>
      <c r="L72" s="16" t="s">
        <v>13</v>
      </c>
      <c r="M72" s="14">
        <f t="shared" si="27"/>
        <v>0</v>
      </c>
      <c r="N72" s="15">
        <f t="shared" si="28"/>
        <v>0</v>
      </c>
      <c r="O72" s="15" t="str">
        <f t="shared" si="29"/>
        <v>NO</v>
      </c>
      <c r="P72" s="25" t="str">
        <f>IF(L72&lt;&gt;0, IF(L72="Gap", O72, IF(L73&lt;&gt;0,  IF(O72="NO", "NO", "YES"), IF(L74&lt;&gt;0, IF(AND(O72="NO", O73="NO"), "NO", "YES"), IF(L75&lt;&gt;0, IF(AND(O72="NO", O73="NO", O74="NO"), "NO", "YES"), IF(AND(O72="NO", O73="NO", O74="NO", O75="NO"), "NO", "YES"))))))</f>
        <v>NO</v>
      </c>
      <c r="Q72" s="25">
        <f>IF(L72=0,0,IF(L73&lt;&gt;0,N72,IF(L74&lt;&gt;0,N72+N73,IF(L75&lt;&gt;0,N72+N73+N74,IF(#REF!&lt;&gt;0,N72+N73+N74+N75,IF(#REF!&lt;&gt;0,N72+N73+N74+N75+#REF!,N72+N73+N74+N75+#REF!+#REF!))))))</f>
        <v>0</v>
      </c>
      <c r="R72" s="25">
        <f t="shared" si="30"/>
        <v>0</v>
      </c>
      <c r="S72" s="25">
        <f>IF(L72=0, 0, IF(L73&lt;&gt;0, R72, IF(L74&lt;&gt;0, R72+R73, IF(L75&lt;&gt;0, R72+R73+R74, IF(#REF!&lt;&gt;0, R72+R73+R74+R75, IF(#REF!&lt;&gt;0, R72+R73+R74+R75+#REF!, R72+R73+R74+R75+#REF!+#REF!))))))</f>
        <v>0</v>
      </c>
      <c r="T72" s="12" t="s">
        <v>7</v>
      </c>
      <c r="U72" s="12" t="s">
        <v>35</v>
      </c>
      <c r="V72" s="25">
        <f t="shared" si="32"/>
        <v>0</v>
      </c>
      <c r="W72" s="10">
        <f t="shared" si="38"/>
        <v>0</v>
      </c>
      <c r="Y72" s="1">
        <f>IF(L72="FULL",IF(L73=0,IF(L74=0,IF(L75=0,IF(#REF!=0,5,4),3),2),1),IF(L72=0,Y71,1))</f>
        <v>1</v>
      </c>
    </row>
    <row r="73" spans="1:25" outlineLevel="1" x14ac:dyDescent="0.25">
      <c r="A73" s="16"/>
      <c r="B73" s="16"/>
      <c r="C73" s="30">
        <v>0</v>
      </c>
      <c r="D73" s="17">
        <v>2</v>
      </c>
      <c r="E73" s="11">
        <f t="shared" si="34"/>
        <v>2</v>
      </c>
      <c r="F73" s="11">
        <f t="shared" si="26"/>
        <v>0</v>
      </c>
      <c r="G73" s="2">
        <f>VLOOKUP('930-4'!D73,Table1[],2,0)</f>
        <v>2.375</v>
      </c>
      <c r="H73" s="19">
        <f t="shared" si="35"/>
        <v>18.942050000000002</v>
      </c>
      <c r="I73" s="18">
        <f t="shared" si="36"/>
        <v>19</v>
      </c>
      <c r="J73" s="12">
        <v>40</v>
      </c>
      <c r="K73" s="12">
        <v>45</v>
      </c>
      <c r="L73" s="16" t="s">
        <v>13</v>
      </c>
      <c r="M73" s="14">
        <f t="shared" si="27"/>
        <v>0</v>
      </c>
      <c r="N73" s="15">
        <f t="shared" si="28"/>
        <v>0</v>
      </c>
      <c r="O73" s="15" t="str">
        <f t="shared" si="29"/>
        <v>NO</v>
      </c>
      <c r="P73" s="25" t="str">
        <f>IF(L73&lt;&gt;0, IF(L73="Gap", O73, IF(L74&lt;&gt;0,  IF(O73="NO", "NO", "YES"), IF(L75&lt;&gt;0, IF(AND(O73="NO", O74="NO"), "NO", "YES"), IF(#REF!&lt;&gt;0, IF(AND(O73="NO", O74="NO", O75="NO"), "NO", "YES"), IF(AND(O73="NO", O74="NO", O75="NO",#REF!= "NO"), "NO", "YES"))))))</f>
        <v>NO</v>
      </c>
      <c r="Q73" s="25">
        <f>IF(L73=0,0,IF(L74&lt;&gt;0,N73,IF(L75&lt;&gt;0,N73+N74,IF(#REF!&lt;&gt;0,N73+N74+N75,IF(#REF!&lt;&gt;0,N73+N74+N75+#REF!,IF(#REF!&lt;&gt;0,N73+N74+N75+#REF!+#REF!,N73+N74+N75+#REF!+#REF!+#REF!))))))</f>
        <v>0</v>
      </c>
      <c r="R73" s="25">
        <f t="shared" si="30"/>
        <v>0</v>
      </c>
      <c r="S73" s="25">
        <f>IF(L73=0, 0, IF(L74&lt;&gt;0, R73, IF(L75&lt;&gt;0, R73+R74, IF(#REF!&lt;&gt;0, R73+R74+R75, IF(#REF!&lt;&gt;0, R73+R74+R75+#REF!, IF(#REF!&lt;&gt;0, R73+R74+R75+#REF!+#REF!, R73+R74+R75+#REF!+#REF!+#REF!))))))</f>
        <v>0</v>
      </c>
      <c r="T73" s="12" t="s">
        <v>7</v>
      </c>
      <c r="U73" s="12" t="s">
        <v>35</v>
      </c>
      <c r="V73" s="25">
        <f t="shared" si="32"/>
        <v>0</v>
      </c>
      <c r="W73" s="10">
        <f t="shared" si="38"/>
        <v>0</v>
      </c>
      <c r="Y73" s="1">
        <f>IF(L73="FULL",IF(L74=0,IF(L75=0,IF(#REF!=0,IF(#REF!=0,5,4),3),2),1),IF(L73=0,Y72,1))</f>
        <v>1</v>
      </c>
    </row>
    <row r="74" spans="1:25" ht="15" customHeight="1" outlineLevel="1" x14ac:dyDescent="0.25">
      <c r="A74" s="29" t="s">
        <v>20</v>
      </c>
      <c r="B74" s="29" t="s">
        <v>20</v>
      </c>
      <c r="C74" s="29" t="s">
        <v>20</v>
      </c>
      <c r="D74" s="29" t="s">
        <v>20</v>
      </c>
      <c r="E74" s="29" t="s">
        <v>20</v>
      </c>
      <c r="F74" s="29"/>
      <c r="G74" s="29" t="s">
        <v>20</v>
      </c>
      <c r="H74" s="29" t="s">
        <v>20</v>
      </c>
      <c r="I74" s="29" t="s">
        <v>20</v>
      </c>
      <c r="J74" s="29" t="s">
        <v>20</v>
      </c>
      <c r="K74" s="29" t="s">
        <v>20</v>
      </c>
      <c r="L74" s="29" t="s">
        <v>20</v>
      </c>
      <c r="M74" s="29" t="s">
        <v>20</v>
      </c>
      <c r="N74" s="29" t="s">
        <v>20</v>
      </c>
      <c r="O74" s="29" t="s">
        <v>20</v>
      </c>
      <c r="P74" s="29" t="s">
        <v>20</v>
      </c>
      <c r="Q74" s="29" t="s">
        <v>20</v>
      </c>
      <c r="R74" s="29" t="s">
        <v>20</v>
      </c>
      <c r="S74" s="29" t="s">
        <v>20</v>
      </c>
      <c r="T74" s="29" t="s">
        <v>20</v>
      </c>
      <c r="U74" s="29" t="s">
        <v>20</v>
      </c>
      <c r="V74" s="29" t="s">
        <v>20</v>
      </c>
      <c r="W74" s="29" t="s">
        <v>20</v>
      </c>
      <c r="Y74" s="1">
        <f>IF(L74="FULL",IF(L75=0,IF(#REF!=0,IF(#REF!=0,IF(#REF!=0,5,4),3),2),1),IF(L74=0,Y73,1))</f>
        <v>1</v>
      </c>
    </row>
    <row r="75" spans="1:25" ht="15.75" thickBot="1" x14ac:dyDescent="0.3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21"/>
      <c r="N75" s="21"/>
      <c r="O75" s="21"/>
      <c r="P75" s="21"/>
      <c r="Q75" s="31">
        <f>SUM(Q58:Q73)</f>
        <v>42</v>
      </c>
      <c r="R75" s="31"/>
      <c r="S75" s="31">
        <f>SUM(R58:R73)</f>
        <v>42</v>
      </c>
      <c r="T75" s="31"/>
      <c r="U75" s="20"/>
      <c r="V75" s="21">
        <f>IF(COUNTIF(V58:V73,  "Segment Error")=0, IF(AND(SUM(V58:V73)&lt;50, COUNTIF(P58:P73, "YES")=0), 50, SUM(V58:V73)), "Segment Error")</f>
        <v>50</v>
      </c>
      <c r="W75" s="22">
        <f>V75*2400000</f>
        <v>120000000</v>
      </c>
      <c r="Y75" s="1">
        <f>IF(L75="FULL",IF(#REF!=0,IF(#REF!=0,IF(#REF!=0,IF(#REF!=0,5,4),3),2),1),IF(L75=0,Y74,1))</f>
        <v>1</v>
      </c>
    </row>
    <row r="76" spans="1:25" ht="27" customHeight="1" x14ac:dyDescent="0.25">
      <c r="A76" s="44" t="s">
        <v>41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Y76" s="27" t="s">
        <v>17</v>
      </c>
    </row>
    <row r="77" spans="1:25" ht="15" hidden="1" customHeight="1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Y77" s="1">
        <v>1</v>
      </c>
    </row>
    <row r="78" spans="1:25" ht="15" hidden="1" customHeight="1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Y78" s="1">
        <v>1</v>
      </c>
    </row>
    <row r="79" spans="1:25" ht="15" hidden="1" customHeight="1" thickBot="1" x14ac:dyDescent="0.3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Y79" s="1">
        <v>1</v>
      </c>
    </row>
    <row r="80" spans="1:25" ht="15.75" thickBot="1" x14ac:dyDescent="0.3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Y80" s="1">
        <v>1</v>
      </c>
    </row>
    <row r="81" spans="1:25" ht="30" customHeight="1" x14ac:dyDescent="0.25">
      <c r="A81" s="37" t="s">
        <v>0</v>
      </c>
      <c r="B81" s="37" t="s">
        <v>8</v>
      </c>
      <c r="C81" s="39" t="s">
        <v>29</v>
      </c>
      <c r="D81" s="37" t="s">
        <v>28</v>
      </c>
      <c r="E81" s="37" t="s">
        <v>28</v>
      </c>
      <c r="F81" s="39" t="s">
        <v>33</v>
      </c>
      <c r="G81" s="39" t="s">
        <v>16</v>
      </c>
      <c r="H81" s="37" t="s">
        <v>9</v>
      </c>
      <c r="I81" s="39" t="s">
        <v>12</v>
      </c>
      <c r="J81" s="41" t="s">
        <v>1</v>
      </c>
      <c r="K81" s="41"/>
      <c r="L81" s="41"/>
      <c r="M81" s="37" t="s">
        <v>14</v>
      </c>
      <c r="N81" s="39" t="s">
        <v>18</v>
      </c>
      <c r="O81" s="39" t="s">
        <v>32</v>
      </c>
      <c r="P81" s="39" t="s">
        <v>21</v>
      </c>
      <c r="Q81" s="39" t="s">
        <v>30</v>
      </c>
      <c r="R81" s="39" t="s">
        <v>19</v>
      </c>
      <c r="S81" s="39" t="s">
        <v>25</v>
      </c>
      <c r="T81" s="41" t="s">
        <v>3</v>
      </c>
      <c r="U81" s="37" t="s">
        <v>4</v>
      </c>
      <c r="V81" s="37" t="s">
        <v>6</v>
      </c>
      <c r="W81" s="42" t="s">
        <v>15</v>
      </c>
      <c r="Y81" s="1">
        <v>1</v>
      </c>
    </row>
    <row r="82" spans="1:25" ht="30" customHeight="1" thickBot="1" x14ac:dyDescent="0.3">
      <c r="A82" s="38"/>
      <c r="B82" s="38"/>
      <c r="C82" s="40"/>
      <c r="D82" s="38"/>
      <c r="E82" s="38"/>
      <c r="F82" s="40"/>
      <c r="G82" s="40"/>
      <c r="H82" s="38"/>
      <c r="I82" s="40"/>
      <c r="J82" s="26" t="s">
        <v>26</v>
      </c>
      <c r="K82" s="26" t="s">
        <v>27</v>
      </c>
      <c r="L82" s="2" t="s">
        <v>2</v>
      </c>
      <c r="M82" s="38"/>
      <c r="N82" s="40"/>
      <c r="O82" s="40"/>
      <c r="P82" s="40"/>
      <c r="Q82" s="40"/>
      <c r="R82" s="40"/>
      <c r="S82" s="40"/>
      <c r="T82" s="46"/>
      <c r="U82" s="38"/>
      <c r="V82" s="38"/>
      <c r="W82" s="43"/>
      <c r="Y82" s="1">
        <v>1</v>
      </c>
    </row>
    <row r="83" spans="1:25" ht="15.75" outlineLevel="1" thickBot="1" x14ac:dyDescent="0.3">
      <c r="A83" s="12" t="s">
        <v>5</v>
      </c>
      <c r="B83" s="16"/>
      <c r="C83" s="30">
        <v>4</v>
      </c>
      <c r="D83" s="11">
        <v>10</v>
      </c>
      <c r="E83" s="11">
        <f>IF(D83="4.5 C", 4.5, IF(D83="4.8 C", 4.8, D83))</f>
        <v>10</v>
      </c>
      <c r="F83" s="11">
        <f t="shared" ref="F83:F98" si="39">IF(L83="Full", IF(Y83=1, E83*C83, E83), IF(L83="Gap", C83, E83))</f>
        <v>40</v>
      </c>
      <c r="G83" s="2">
        <f>VLOOKUP('930-4'!D83,Table1[],2,0)</f>
        <v>10.75</v>
      </c>
      <c r="H83" s="13">
        <f>G83*3.14*2.54</f>
        <v>85.737700000000004</v>
      </c>
      <c r="I83" s="2">
        <f>ROUNDUP(H83, 0)</f>
        <v>86</v>
      </c>
      <c r="J83" s="12">
        <v>40</v>
      </c>
      <c r="K83" s="12">
        <v>50</v>
      </c>
      <c r="L83" s="16" t="s">
        <v>13</v>
      </c>
      <c r="M83" s="14">
        <f t="shared" ref="M83:M98" si="40">IF(L83="Gap",C83, IF(E83&lt;=3, 3*C83, IF(L83="Full", C83*E83/Y83, IF(J83=K83,"Error", IF(K83&lt;J83, C83*(I83+K83-J83)*H83*E83/(3.14*2.54*I83*G83), C83*(K83-J83)*H83*E83/(3.14*2.54*I83*G83))))))</f>
        <v>40</v>
      </c>
      <c r="N83" s="15">
        <f t="shared" ref="N83:N98" si="41">IF(L83=0,IF(L82=0,IF(L81=0,IF(L80=0,IF(L79=0,IF(L78=0,IF(L77="Segment",M83,0),IF(L78="Segment",M83,0)),IF(L79="Segment",M83,0)),IF(L80="Segment",M83,0)),IF(L81="Segment",M83,0)),IF(L82="Segment",M83,0)),M83)</f>
        <v>40</v>
      </c>
      <c r="O83" s="15" t="str">
        <f t="shared" ref="O83:O98" si="42">IF(OR(T83="REJ",T83="NOT DONE-CONTRACTOR"), "YES", "NO")</f>
        <v>NO</v>
      </c>
      <c r="P83" s="25" t="str">
        <f>IF(L83&lt;&gt;0, IF(L83="Gap", O83, IF(L84&lt;&gt;0,  IF(O83="NO", "NO", "YES"), IF(L85&lt;&gt;0, IF(AND(O83="NO", O84="NO"), "NO", "YES"), IF(L86&lt;&gt;0, IF(AND(O83="NO", O84="NO", O85="NO"), "NO", "YES"), IF(AND(O83="NO", O84="NO", O85="NO", O86="NO"), "NO", "YES"))))))</f>
        <v>NO</v>
      </c>
      <c r="Q83" s="25">
        <f>IF(L83=0,0,IF(L84&lt;&gt;0,N83,IF(L85&lt;&gt;0,N83+N84,IF(L86&lt;&gt;0,N83+N84+N85,IF(L87&lt;&gt;0,N83+N84+N85+N86,IF(L88&lt;&gt;0,N83+N84+N85+N86+N87,N83+N84+N85+N86+N87+N88))))))</f>
        <v>40</v>
      </c>
      <c r="R83" s="25">
        <f t="shared" ref="R83:R98" si="43">IF(OR(T83="ACC", T83="REP", T83="RS", T83="RT"), N83, 0)</f>
        <v>40</v>
      </c>
      <c r="S83" s="25">
        <f t="shared" ref="S83:S95" si="44">IF(L83=0, 0, IF(L84&lt;&gt;0, R83, IF(L85&lt;&gt;0, R83+R84, IF(L86&lt;&gt;0, R83+R84+R85, IF(L87&lt;&gt;0, R83+R84+R85+R86, IF(L88&lt;&gt;0, R83+R84+R85+R86+R87, R83+R84+R85+R86+R87+R88))))))</f>
        <v>40</v>
      </c>
      <c r="T83" s="12" t="s">
        <v>7</v>
      </c>
      <c r="U83" s="12" t="s">
        <v>35</v>
      </c>
      <c r="V83" s="25">
        <f t="shared" ref="V83:V98" si="45">IF(OR(S83=0, P83=FALSE), 0, IF(AND(Q83&gt;3*C83, Q83&gt;F83), "Segment Error", IF(OR(P83="YES", L83="Gap"), S83, IF(E83&lt;3, S83, IF(S83&gt;F83/2, F83, F83/2)))))</f>
        <v>40</v>
      </c>
      <c r="W83" s="10">
        <f>V83*2400000</f>
        <v>96000000</v>
      </c>
      <c r="Y83" s="1">
        <f t="shared" ref="Y83:Y96" si="46">IF(L83="FULL",IF(L84=0,IF(L85=0,IF(L86=0,IF(L87=0,5,4),3),2),1),IF(L83=0,Y82,1))</f>
        <v>1</v>
      </c>
    </row>
    <row r="84" spans="1:25" ht="15.75" outlineLevel="1" thickBot="1" x14ac:dyDescent="0.3">
      <c r="A84" s="12" t="s">
        <v>5</v>
      </c>
      <c r="B84" s="16"/>
      <c r="C84" s="30">
        <v>2</v>
      </c>
      <c r="D84" s="11">
        <v>8</v>
      </c>
      <c r="E84" s="11">
        <f t="shared" ref="E84:E98" si="47">IF(D84="4.5 C", 4.5, IF(D84="4.8 C", 4.8, D84))</f>
        <v>8</v>
      </c>
      <c r="F84" s="11">
        <f t="shared" si="39"/>
        <v>16</v>
      </c>
      <c r="G84" s="2">
        <f>VLOOKUP('930-4'!D84,Table1[],2,0)</f>
        <v>8.625</v>
      </c>
      <c r="H84" s="13">
        <f t="shared" ref="H84:H98" si="48">G84*3.14*2.54</f>
        <v>68.789550000000006</v>
      </c>
      <c r="I84" s="2">
        <f t="shared" ref="I84:I98" si="49">ROUNDUP(H84, 0)</f>
        <v>69</v>
      </c>
      <c r="J84" s="12">
        <v>4</v>
      </c>
      <c r="K84" s="12">
        <v>13</v>
      </c>
      <c r="L84" s="16" t="s">
        <v>13</v>
      </c>
      <c r="M84" s="14">
        <f t="shared" si="40"/>
        <v>16</v>
      </c>
      <c r="N84" s="15">
        <f t="shared" si="41"/>
        <v>16</v>
      </c>
      <c r="O84" s="15" t="str">
        <f t="shared" si="42"/>
        <v>NO</v>
      </c>
      <c r="P84" s="25" t="str">
        <f>IF(L84&lt;&gt;0, IF(L84="Gap", O84, IF(L85&lt;&gt;0,  IF(O84="NO", "NO", "YES"), IF(L86&lt;&gt;0, IF(AND(O84="NO", O85="NO"), "NO", "YES"), IF(L87&lt;&gt;0, IF(AND(O84="NO", O85="NO", O86="NO"), "NO", "YES"), IF(AND(O84="NO", O85="NO", O86="NO", O87="NO"), "NO", "YES"))))))</f>
        <v>NO</v>
      </c>
      <c r="Q84" s="25">
        <f t="shared" ref="Q84:Q95" si="50">IF(L84=0,0,IF(L85&lt;&gt;0,N84,IF(L86&lt;&gt;0,N84+N85,IF(L87&lt;&gt;0,N84+N85+N86,IF(L88&lt;&gt;0,N84+N85+N86+N87,IF(L89&lt;&gt;0,N84+N85+N86+N87+N88,N84+N85+N86+N87+N88+N89))))))</f>
        <v>16</v>
      </c>
      <c r="R84" s="25">
        <f t="shared" si="43"/>
        <v>16</v>
      </c>
      <c r="S84" s="25">
        <f t="shared" si="44"/>
        <v>16</v>
      </c>
      <c r="T84" s="12" t="s">
        <v>7</v>
      </c>
      <c r="U84" s="12" t="s">
        <v>35</v>
      </c>
      <c r="V84" s="25">
        <f t="shared" si="45"/>
        <v>16</v>
      </c>
      <c r="W84" s="10">
        <f t="shared" ref="W84:W98" si="51">V84*2400000</f>
        <v>38400000</v>
      </c>
      <c r="Y84" s="1">
        <f t="shared" si="46"/>
        <v>1</v>
      </c>
    </row>
    <row r="85" spans="1:25" ht="15.75" outlineLevel="1" thickBot="1" x14ac:dyDescent="0.3">
      <c r="A85" s="12" t="s">
        <v>5</v>
      </c>
      <c r="B85" s="16"/>
      <c r="C85" s="30">
        <v>2</v>
      </c>
      <c r="D85" s="11">
        <v>4</v>
      </c>
      <c r="E85" s="11">
        <f t="shared" si="47"/>
        <v>4</v>
      </c>
      <c r="F85" s="11">
        <f t="shared" si="39"/>
        <v>8</v>
      </c>
      <c r="G85" s="2">
        <f>VLOOKUP('930-4'!D85,Table1[],2,0)</f>
        <v>4.5</v>
      </c>
      <c r="H85" s="13">
        <f t="shared" si="48"/>
        <v>35.8902</v>
      </c>
      <c r="I85" s="2">
        <f t="shared" si="49"/>
        <v>36</v>
      </c>
      <c r="J85" s="12">
        <v>4</v>
      </c>
      <c r="K85" s="12">
        <v>13</v>
      </c>
      <c r="L85" s="16" t="s">
        <v>13</v>
      </c>
      <c r="M85" s="14">
        <f t="shared" si="40"/>
        <v>8</v>
      </c>
      <c r="N85" s="15">
        <f t="shared" si="41"/>
        <v>8</v>
      </c>
      <c r="O85" s="15" t="str">
        <f t="shared" si="42"/>
        <v>NO</v>
      </c>
      <c r="P85" s="25" t="str">
        <f>IF(L85&lt;&gt;0, IF(L85="Gap", O85, IF(L86&lt;&gt;0,  IF(O85="NO", "NO", "YES"), IF(L87&lt;&gt;0, IF(AND(O85="NO", O86="NO"), "NO", "YES"), IF(L93&lt;&gt;0, IF(AND(O85="NO", O86="NO", O87="NO"), "NO", "YES"), IF(AND(O85="NO", O86="NO", O87="NO", O93="NO"), "NO", "YES"))))))</f>
        <v>NO</v>
      </c>
      <c r="Q85" s="25">
        <f t="shared" si="50"/>
        <v>8</v>
      </c>
      <c r="R85" s="25">
        <f t="shared" si="43"/>
        <v>8</v>
      </c>
      <c r="S85" s="25">
        <f t="shared" si="44"/>
        <v>8</v>
      </c>
      <c r="T85" s="12" t="s">
        <v>7</v>
      </c>
      <c r="U85" s="12" t="s">
        <v>35</v>
      </c>
      <c r="V85" s="25">
        <f t="shared" si="45"/>
        <v>8</v>
      </c>
      <c r="W85" s="10">
        <f t="shared" si="51"/>
        <v>19200000</v>
      </c>
      <c r="X85" s="33"/>
      <c r="Y85" s="1">
        <f t="shared" si="46"/>
        <v>1</v>
      </c>
    </row>
    <row r="86" spans="1:25" ht="15.75" outlineLevel="1" thickBot="1" x14ac:dyDescent="0.3">
      <c r="A86" s="12" t="s">
        <v>5</v>
      </c>
      <c r="B86" s="16"/>
      <c r="C86" s="30">
        <v>0</v>
      </c>
      <c r="D86" s="11">
        <v>28</v>
      </c>
      <c r="E86" s="11">
        <f t="shared" si="47"/>
        <v>28</v>
      </c>
      <c r="F86" s="11">
        <f t="shared" si="39"/>
        <v>0</v>
      </c>
      <c r="G86" s="2">
        <f>VLOOKUP('930-4'!D86,Table1[],2,0)</f>
        <v>28</v>
      </c>
      <c r="H86" s="13">
        <f t="shared" si="48"/>
        <v>223.3168</v>
      </c>
      <c r="I86" s="2">
        <f t="shared" si="49"/>
        <v>224</v>
      </c>
      <c r="J86" s="12">
        <v>20</v>
      </c>
      <c r="K86" s="12">
        <v>40</v>
      </c>
      <c r="L86" s="16" t="s">
        <v>13</v>
      </c>
      <c r="M86" s="14">
        <f t="shared" si="40"/>
        <v>0</v>
      </c>
      <c r="N86" s="15">
        <f t="shared" si="41"/>
        <v>0</v>
      </c>
      <c r="O86" s="15" t="str">
        <f t="shared" si="42"/>
        <v>NO</v>
      </c>
      <c r="P86" s="25" t="str">
        <f>IF(L86&lt;&gt;0, IF(L86="Gap", O86, IF(L87&lt;&gt;0,  IF(O86="NO", "NO", "YES"), IF(L93&lt;&gt;0, IF(AND(O86="NO", O87="NO"), "NO", "YES"), IF(L94&lt;&gt;0, IF(AND(O86="NO", O87="NO", O93="NO"), "NO", "YES"), IF(AND(O86="NO", O87="NO", O93="NO", O94="NO"), "NO", "YES"))))))</f>
        <v>NO</v>
      </c>
      <c r="Q86" s="25">
        <f t="shared" si="50"/>
        <v>0</v>
      </c>
      <c r="R86" s="25">
        <f t="shared" si="43"/>
        <v>0</v>
      </c>
      <c r="S86" s="25">
        <f t="shared" si="44"/>
        <v>0</v>
      </c>
      <c r="T86" s="12" t="s">
        <v>7</v>
      </c>
      <c r="U86" s="12" t="s">
        <v>35</v>
      </c>
      <c r="V86" s="25">
        <f t="shared" si="45"/>
        <v>0</v>
      </c>
      <c r="W86" s="10">
        <f t="shared" si="51"/>
        <v>0</v>
      </c>
      <c r="Y86" s="1">
        <f t="shared" si="46"/>
        <v>1</v>
      </c>
    </row>
    <row r="87" spans="1:25" ht="15.75" outlineLevel="1" thickBot="1" x14ac:dyDescent="0.3">
      <c r="A87" s="12" t="s">
        <v>5</v>
      </c>
      <c r="B87" s="16"/>
      <c r="C87" s="30">
        <v>0</v>
      </c>
      <c r="D87" s="11">
        <v>10</v>
      </c>
      <c r="E87" s="11">
        <f t="shared" si="47"/>
        <v>10</v>
      </c>
      <c r="F87" s="11">
        <f t="shared" si="39"/>
        <v>0</v>
      </c>
      <c r="G87" s="2">
        <f>VLOOKUP('930-4'!D87,Table1[],2,0)</f>
        <v>10.75</v>
      </c>
      <c r="H87" s="13">
        <f t="shared" si="48"/>
        <v>85.737700000000004</v>
      </c>
      <c r="I87" s="2">
        <f t="shared" si="49"/>
        <v>86</v>
      </c>
      <c r="J87" s="12">
        <v>65</v>
      </c>
      <c r="K87" s="12">
        <v>85</v>
      </c>
      <c r="L87" s="16" t="s">
        <v>13</v>
      </c>
      <c r="M87" s="14">
        <f t="shared" si="40"/>
        <v>0</v>
      </c>
      <c r="N87" s="15">
        <f t="shared" si="41"/>
        <v>0</v>
      </c>
      <c r="O87" s="15" t="str">
        <f t="shared" si="42"/>
        <v>NO</v>
      </c>
      <c r="P87" s="25" t="str">
        <f>IF(L87&lt;&gt;0, IF(L87="Gap", O87, IF(L93&lt;&gt;0,  IF(O87="NO", "NO", "YES"), IF(L94&lt;&gt;0, IF(AND(O87="NO", O93="NO"), "NO", "YES"), IF(L95&lt;&gt;0, IF(AND(O87="NO", O93="NO", O94="NO"), "NO", "YES"), IF(AND(O87="NO", O93="NO", O94="NO", O95="NO"), "NO", "YES"))))))</f>
        <v>NO</v>
      </c>
      <c r="Q87" s="25">
        <f t="shared" si="50"/>
        <v>0</v>
      </c>
      <c r="R87" s="25">
        <f t="shared" si="43"/>
        <v>0</v>
      </c>
      <c r="S87" s="25">
        <f t="shared" si="44"/>
        <v>0</v>
      </c>
      <c r="T87" s="12" t="s">
        <v>7</v>
      </c>
      <c r="U87" s="12" t="s">
        <v>35</v>
      </c>
      <c r="V87" s="25">
        <f t="shared" si="45"/>
        <v>0</v>
      </c>
      <c r="W87" s="10">
        <f t="shared" si="51"/>
        <v>0</v>
      </c>
      <c r="Y87" s="1">
        <f t="shared" si="46"/>
        <v>1</v>
      </c>
    </row>
    <row r="88" spans="1:25" ht="15.75" outlineLevel="1" thickBot="1" x14ac:dyDescent="0.3">
      <c r="A88" s="12" t="s">
        <v>5</v>
      </c>
      <c r="B88" s="32"/>
      <c r="C88" s="30">
        <v>0</v>
      </c>
      <c r="D88" s="11">
        <v>10</v>
      </c>
      <c r="E88" s="11">
        <f t="shared" si="47"/>
        <v>10</v>
      </c>
      <c r="F88" s="11">
        <f t="shared" si="39"/>
        <v>0</v>
      </c>
      <c r="G88" s="2">
        <f>VLOOKUP('930-4'!D88,Table1[],2,0)</f>
        <v>10.75</v>
      </c>
      <c r="H88" s="13">
        <f t="shared" si="48"/>
        <v>85.737700000000004</v>
      </c>
      <c r="I88" s="2">
        <f t="shared" si="49"/>
        <v>86</v>
      </c>
      <c r="J88" s="12">
        <v>40</v>
      </c>
      <c r="K88" s="12">
        <v>125</v>
      </c>
      <c r="L88" s="16" t="s">
        <v>13</v>
      </c>
      <c r="M88" s="14">
        <f t="shared" si="40"/>
        <v>0</v>
      </c>
      <c r="N88" s="15">
        <f t="shared" si="41"/>
        <v>0</v>
      </c>
      <c r="O88" s="15" t="str">
        <f t="shared" si="42"/>
        <v>NO</v>
      </c>
      <c r="P88" s="25" t="str">
        <f>IF(L88&lt;&gt;0, IF(L88="Gap", O88, IF(L89&lt;&gt;0,  IF(O88="NO", "NO", "YES"), IF(L90&lt;&gt;0, IF(AND(O88="NO", O89="NO"), "NO", "YES"), IF(L91&lt;&gt;0, IF(AND(O88="NO", O89="NO", O90="NO"), "NO", "YES"), IF(AND(O88="NO", O89="NO", O90="NO", O91="NO"), "NO", "YES"))))))</f>
        <v>NO</v>
      </c>
      <c r="Q88" s="25">
        <f t="shared" si="50"/>
        <v>0</v>
      </c>
      <c r="R88" s="25">
        <f t="shared" si="43"/>
        <v>0</v>
      </c>
      <c r="S88" s="25">
        <f t="shared" si="44"/>
        <v>0</v>
      </c>
      <c r="T88" s="12" t="s">
        <v>7</v>
      </c>
      <c r="U88" s="12" t="s">
        <v>35</v>
      </c>
      <c r="V88" s="25">
        <f t="shared" si="45"/>
        <v>0</v>
      </c>
      <c r="W88" s="10">
        <f t="shared" si="51"/>
        <v>0</v>
      </c>
      <c r="Y88" s="1">
        <f t="shared" si="46"/>
        <v>1</v>
      </c>
    </row>
    <row r="89" spans="1:25" ht="15.75" outlineLevel="1" thickBot="1" x14ac:dyDescent="0.3">
      <c r="A89" s="12" t="s">
        <v>5</v>
      </c>
      <c r="B89" s="16"/>
      <c r="C89" s="30">
        <v>0</v>
      </c>
      <c r="D89" s="11">
        <v>6</v>
      </c>
      <c r="E89" s="11">
        <f t="shared" si="47"/>
        <v>6</v>
      </c>
      <c r="F89" s="11">
        <f t="shared" si="39"/>
        <v>6</v>
      </c>
      <c r="G89" s="2">
        <f>VLOOKUP('930-4'!D89,Table1[],2,0)</f>
        <v>6.625</v>
      </c>
      <c r="H89" s="13">
        <f t="shared" si="48"/>
        <v>52.838350000000005</v>
      </c>
      <c r="I89" s="2">
        <f t="shared" si="49"/>
        <v>53</v>
      </c>
      <c r="J89" s="12">
        <v>40</v>
      </c>
      <c r="K89" s="12">
        <v>125</v>
      </c>
      <c r="L89" s="16" t="s">
        <v>34</v>
      </c>
      <c r="M89" s="14">
        <f t="shared" si="40"/>
        <v>0</v>
      </c>
      <c r="N89" s="15">
        <f t="shared" si="41"/>
        <v>0</v>
      </c>
      <c r="O89" s="15" t="str">
        <f t="shared" si="42"/>
        <v>NO</v>
      </c>
      <c r="P89" s="25" t="str">
        <f>IF(L89&lt;&gt;0, IF(L89="Gap", O89, IF(L90&lt;&gt;0,  IF(O89="NO", "NO", "YES"), IF(L91&lt;&gt;0, IF(AND(O89="NO", O90="NO"), "NO", "YES"), IF(L93&lt;&gt;0, IF(AND(O89="NO", O90="NO", O91="NO"), "NO", "YES"), IF(AND(O89="NO", O90="NO", O91="NO", O93="NO"), "NO", "YES"))))))</f>
        <v>NO</v>
      </c>
      <c r="Q89" s="25">
        <f t="shared" si="50"/>
        <v>0</v>
      </c>
      <c r="R89" s="25">
        <f t="shared" si="43"/>
        <v>0</v>
      </c>
      <c r="S89" s="25">
        <f t="shared" si="44"/>
        <v>0</v>
      </c>
      <c r="T89" s="12" t="s">
        <v>7</v>
      </c>
      <c r="U89" s="12" t="s">
        <v>35</v>
      </c>
      <c r="V89" s="25">
        <f t="shared" si="45"/>
        <v>0</v>
      </c>
      <c r="W89" s="10">
        <f t="shared" si="51"/>
        <v>0</v>
      </c>
      <c r="Y89" s="1">
        <f t="shared" si="46"/>
        <v>1</v>
      </c>
    </row>
    <row r="90" spans="1:25" ht="15.75" outlineLevel="1" thickBot="1" x14ac:dyDescent="0.3">
      <c r="A90" s="12" t="s">
        <v>5</v>
      </c>
      <c r="B90" s="16"/>
      <c r="C90" s="30">
        <v>0</v>
      </c>
      <c r="D90" s="11">
        <v>18</v>
      </c>
      <c r="E90" s="11">
        <f t="shared" si="47"/>
        <v>18</v>
      </c>
      <c r="F90" s="11">
        <f t="shared" si="39"/>
        <v>18</v>
      </c>
      <c r="G90" s="2">
        <f>VLOOKUP('930-4'!D90,Table1[],2,0)</f>
        <v>18</v>
      </c>
      <c r="H90" s="13">
        <f t="shared" si="48"/>
        <v>143.5608</v>
      </c>
      <c r="I90" s="2">
        <f t="shared" si="49"/>
        <v>144</v>
      </c>
      <c r="J90" s="12">
        <v>40</v>
      </c>
      <c r="K90" s="12">
        <v>45</v>
      </c>
      <c r="L90" s="34" t="s">
        <v>34</v>
      </c>
      <c r="M90" s="14">
        <f t="shared" si="40"/>
        <v>0</v>
      </c>
      <c r="N90" s="15">
        <f t="shared" si="41"/>
        <v>0</v>
      </c>
      <c r="O90" s="15" t="str">
        <f t="shared" si="42"/>
        <v>NO</v>
      </c>
      <c r="P90" s="25" t="str">
        <f>IF(L90&lt;&gt;0, IF(L90="Gap", O90, IF(L91&lt;&gt;0,  IF(O90="NO", "NO", "YES"), IF(L93&lt;&gt;0, IF(AND(O90="NO", O91="NO"), "NO", "YES"), IF(L94&lt;&gt;0, IF(AND(O90="NO", O91="NO", O93="NO"), "NO", "YES"), IF(AND(O90="NO", O91="NO", O93="NO", O94="NO"), "NO", "YES"))))))</f>
        <v>NO</v>
      </c>
      <c r="Q90" s="25">
        <f t="shared" si="50"/>
        <v>0</v>
      </c>
      <c r="R90" s="25">
        <f t="shared" si="43"/>
        <v>0</v>
      </c>
      <c r="S90" s="25">
        <f t="shared" si="44"/>
        <v>0</v>
      </c>
      <c r="T90" s="12" t="s">
        <v>7</v>
      </c>
      <c r="U90" s="12" t="s">
        <v>35</v>
      </c>
      <c r="V90" s="25">
        <f t="shared" si="45"/>
        <v>0</v>
      </c>
      <c r="W90" s="10">
        <f t="shared" si="51"/>
        <v>0</v>
      </c>
      <c r="Y90" s="1">
        <f t="shared" si="46"/>
        <v>1</v>
      </c>
    </row>
    <row r="91" spans="1:25" ht="15.75" outlineLevel="1" thickBot="1" x14ac:dyDescent="0.3">
      <c r="A91" s="16" t="s">
        <v>5</v>
      </c>
      <c r="B91" s="16"/>
      <c r="C91" s="30">
        <v>0</v>
      </c>
      <c r="D91" s="17">
        <v>18</v>
      </c>
      <c r="E91" s="11">
        <f t="shared" si="47"/>
        <v>18</v>
      </c>
      <c r="F91" s="11">
        <f t="shared" si="39"/>
        <v>18</v>
      </c>
      <c r="G91" s="2">
        <f>VLOOKUP('930-4'!D91,Table1[],2,0)</f>
        <v>18</v>
      </c>
      <c r="H91" s="19">
        <f t="shared" si="48"/>
        <v>143.5608</v>
      </c>
      <c r="I91" s="18">
        <f t="shared" si="49"/>
        <v>144</v>
      </c>
      <c r="J91" s="12">
        <v>40</v>
      </c>
      <c r="K91" s="12">
        <v>10</v>
      </c>
      <c r="L91" s="35"/>
      <c r="M91" s="14">
        <f t="shared" si="40"/>
        <v>0</v>
      </c>
      <c r="N91" s="15">
        <f t="shared" si="41"/>
        <v>0</v>
      </c>
      <c r="O91" s="15" t="str">
        <f t="shared" si="42"/>
        <v>NO</v>
      </c>
      <c r="P91" s="25" t="b">
        <f>IF(L91&lt;&gt;0, IF(L91="Gap", O91, IF(L93&lt;&gt;0,  IF(O91="NO", "NO", "YES"), IF(L94&lt;&gt;0, IF(AND(O91="NO", O93="NO"), "NO", "YES"), IF(L95&lt;&gt;0, IF(AND(O91="NO", O93="NO", O94="NO"), "NO", "YES"), IF(AND(O91="NO", O93="NO", O94="NO", O95="NO"), "NO", "YES"))))))</f>
        <v>0</v>
      </c>
      <c r="Q91" s="25">
        <f t="shared" si="50"/>
        <v>0</v>
      </c>
      <c r="R91" s="25">
        <f t="shared" si="43"/>
        <v>0</v>
      </c>
      <c r="S91" s="25">
        <f t="shared" si="44"/>
        <v>0</v>
      </c>
      <c r="T91" s="12" t="s">
        <v>7</v>
      </c>
      <c r="U91" s="12" t="s">
        <v>35</v>
      </c>
      <c r="V91" s="25">
        <f t="shared" si="45"/>
        <v>0</v>
      </c>
      <c r="W91" s="10">
        <f t="shared" si="51"/>
        <v>0</v>
      </c>
      <c r="Y91" s="1">
        <f t="shared" si="46"/>
        <v>1</v>
      </c>
    </row>
    <row r="92" spans="1:25" ht="15.75" outlineLevel="1" thickBot="1" x14ac:dyDescent="0.3">
      <c r="A92" s="12" t="s">
        <v>5</v>
      </c>
      <c r="B92" s="16"/>
      <c r="C92" s="30">
        <v>0</v>
      </c>
      <c r="D92" s="11">
        <v>10</v>
      </c>
      <c r="E92" s="11">
        <f t="shared" si="47"/>
        <v>10</v>
      </c>
      <c r="F92" s="11">
        <f t="shared" si="39"/>
        <v>0</v>
      </c>
      <c r="G92" s="2">
        <f>VLOOKUP('930-4'!D92,Table1[],2,0)</f>
        <v>10.75</v>
      </c>
      <c r="H92" s="13">
        <f t="shared" si="48"/>
        <v>85.737700000000004</v>
      </c>
      <c r="I92" s="2">
        <f t="shared" si="49"/>
        <v>86</v>
      </c>
      <c r="J92" s="12">
        <v>40</v>
      </c>
      <c r="K92" s="12">
        <v>35</v>
      </c>
      <c r="L92" s="16" t="s">
        <v>13</v>
      </c>
      <c r="M92" s="14">
        <f t="shared" si="40"/>
        <v>0</v>
      </c>
      <c r="N92" s="15">
        <f t="shared" si="41"/>
        <v>0</v>
      </c>
      <c r="O92" s="15" t="str">
        <f t="shared" si="42"/>
        <v>NO</v>
      </c>
      <c r="P92" s="25" t="str">
        <f>IF(L92&lt;&gt;0, IF(L92="Gap", O92, IF(L98&lt;&gt;0,  IF(O92="NO", "NO", "YES"), IF(L99&lt;&gt;0, IF(AND(O92="NO", O98="NO"), "NO", "YES"), IF(L100&lt;&gt;0, IF(AND(O92="NO", O98="NO", O99="NO"), "NO", "YES"), IF(AND(O92="NO", O98="NO", O99="NO", O100="NO"), "NO", "YES"))))))</f>
        <v>NO</v>
      </c>
      <c r="Q92" s="25">
        <f t="shared" si="50"/>
        <v>0</v>
      </c>
      <c r="R92" s="25">
        <f t="shared" si="43"/>
        <v>0</v>
      </c>
      <c r="S92" s="25">
        <f t="shared" si="44"/>
        <v>0</v>
      </c>
      <c r="T92" s="12" t="s">
        <v>7</v>
      </c>
      <c r="U92" s="12" t="s">
        <v>35</v>
      </c>
      <c r="V92" s="25">
        <f t="shared" si="45"/>
        <v>0</v>
      </c>
      <c r="W92" s="10">
        <f t="shared" si="51"/>
        <v>0</v>
      </c>
      <c r="Y92" s="1">
        <f t="shared" si="46"/>
        <v>1</v>
      </c>
    </row>
    <row r="93" spans="1:25" ht="15.75" outlineLevel="1" thickBot="1" x14ac:dyDescent="0.3">
      <c r="A93" s="12" t="s">
        <v>5</v>
      </c>
      <c r="B93" s="32"/>
      <c r="C93" s="30">
        <v>0</v>
      </c>
      <c r="D93" s="11">
        <v>10</v>
      </c>
      <c r="E93" s="11">
        <f t="shared" si="47"/>
        <v>10</v>
      </c>
      <c r="F93" s="11">
        <f t="shared" si="39"/>
        <v>10</v>
      </c>
      <c r="G93" s="2">
        <f>VLOOKUP('930-4'!D93,Table1[],2,0)</f>
        <v>10.75</v>
      </c>
      <c r="H93" s="13">
        <f t="shared" si="48"/>
        <v>85.737700000000004</v>
      </c>
      <c r="I93" s="2">
        <f t="shared" si="49"/>
        <v>86</v>
      </c>
      <c r="J93" s="12">
        <v>40</v>
      </c>
      <c r="K93" s="12">
        <v>50</v>
      </c>
      <c r="L93" s="34" t="s">
        <v>34</v>
      </c>
      <c r="M93" s="14">
        <f t="shared" si="40"/>
        <v>0</v>
      </c>
      <c r="N93" s="15">
        <f t="shared" si="41"/>
        <v>0</v>
      </c>
      <c r="O93" s="15" t="str">
        <f t="shared" si="42"/>
        <v>NO</v>
      </c>
      <c r="P93" s="25" t="str">
        <f>IF(L93&lt;&gt;0, IF(L93="Gap", O93, IF(L94&lt;&gt;0,  IF(O93="NO", "NO", "YES"), IF(L95&lt;&gt;0, IF(AND(O93="NO", O94="NO"), "NO", "YES"), IF(L96&lt;&gt;0, IF(AND(O93="NO", O94="NO", O95="NO"), "NO", "YES"), IF(AND(O93="NO", O94="NO", O95="NO", O96="NO"), "NO", "YES"))))))</f>
        <v>NO</v>
      </c>
      <c r="Q93" s="25">
        <f t="shared" si="50"/>
        <v>0</v>
      </c>
      <c r="R93" s="25">
        <f t="shared" si="43"/>
        <v>0</v>
      </c>
      <c r="S93" s="25">
        <f t="shared" si="44"/>
        <v>0</v>
      </c>
      <c r="T93" s="12" t="s">
        <v>7</v>
      </c>
      <c r="U93" s="12" t="s">
        <v>35</v>
      </c>
      <c r="V93" s="25">
        <f t="shared" si="45"/>
        <v>0</v>
      </c>
      <c r="W93" s="10">
        <f t="shared" si="51"/>
        <v>0</v>
      </c>
      <c r="Y93" s="1">
        <f t="shared" si="46"/>
        <v>1</v>
      </c>
    </row>
    <row r="94" spans="1:25" ht="15.75" outlineLevel="1" thickBot="1" x14ac:dyDescent="0.3">
      <c r="A94" s="12" t="s">
        <v>5</v>
      </c>
      <c r="B94" s="16"/>
      <c r="C94" s="30">
        <v>0</v>
      </c>
      <c r="D94" s="11">
        <v>10</v>
      </c>
      <c r="E94" s="11">
        <f t="shared" si="47"/>
        <v>10</v>
      </c>
      <c r="F94" s="11">
        <f t="shared" si="39"/>
        <v>10</v>
      </c>
      <c r="G94" s="2">
        <f>VLOOKUP('930-4'!D94,Table1[],2,0)</f>
        <v>10.75</v>
      </c>
      <c r="H94" s="13">
        <f t="shared" si="48"/>
        <v>85.737700000000004</v>
      </c>
      <c r="I94" s="2">
        <f t="shared" si="49"/>
        <v>86</v>
      </c>
      <c r="J94" s="12">
        <v>40</v>
      </c>
      <c r="K94" s="12">
        <v>80</v>
      </c>
      <c r="L94" s="35"/>
      <c r="M94" s="14">
        <f t="shared" si="40"/>
        <v>0</v>
      </c>
      <c r="N94" s="15">
        <f t="shared" si="41"/>
        <v>0</v>
      </c>
      <c r="O94" s="15" t="str">
        <f t="shared" si="42"/>
        <v>NO</v>
      </c>
      <c r="P94" s="25" t="b">
        <f>IF(L94&lt;&gt;0, IF(L94="Gap", O94, IF(L95&lt;&gt;0,  IF(O94="NO", "NO", "YES"), IF(L96&lt;&gt;0, IF(AND(O94="NO", O95="NO"), "NO", "YES"), IF(L98&lt;&gt;0, IF(AND(O94="NO", O95="NO", O96="NO"), "NO", "YES"), IF(AND(O94="NO", O95="NO", O96="NO", O98="NO"), "NO", "YES"))))))</f>
        <v>0</v>
      </c>
      <c r="Q94" s="25">
        <f t="shared" si="50"/>
        <v>0</v>
      </c>
      <c r="R94" s="25">
        <f t="shared" si="43"/>
        <v>0</v>
      </c>
      <c r="S94" s="25">
        <f t="shared" si="44"/>
        <v>0</v>
      </c>
      <c r="T94" s="12" t="s">
        <v>7</v>
      </c>
      <c r="U94" s="12" t="s">
        <v>35</v>
      </c>
      <c r="V94" s="25">
        <f t="shared" si="45"/>
        <v>0</v>
      </c>
      <c r="W94" s="10">
        <f t="shared" si="51"/>
        <v>0</v>
      </c>
      <c r="Y94" s="1">
        <f t="shared" si="46"/>
        <v>1</v>
      </c>
    </row>
    <row r="95" spans="1:25" ht="15.75" outlineLevel="1" thickBot="1" x14ac:dyDescent="0.3">
      <c r="A95" s="12" t="s">
        <v>5</v>
      </c>
      <c r="B95" s="16"/>
      <c r="C95" s="30">
        <v>0</v>
      </c>
      <c r="D95" s="11">
        <v>10</v>
      </c>
      <c r="E95" s="11">
        <f t="shared" si="47"/>
        <v>10</v>
      </c>
      <c r="F95" s="11">
        <f t="shared" si="39"/>
        <v>10</v>
      </c>
      <c r="G95" s="2">
        <f>VLOOKUP('930-4'!D95,Table1[],2,0)</f>
        <v>10.75</v>
      </c>
      <c r="H95" s="13">
        <f t="shared" si="48"/>
        <v>85.737700000000004</v>
      </c>
      <c r="I95" s="2">
        <f t="shared" si="49"/>
        <v>86</v>
      </c>
      <c r="J95" s="12">
        <v>40</v>
      </c>
      <c r="K95" s="12">
        <v>55</v>
      </c>
      <c r="L95" s="34" t="s">
        <v>34</v>
      </c>
      <c r="M95" s="14">
        <f t="shared" si="40"/>
        <v>0</v>
      </c>
      <c r="N95" s="15">
        <f t="shared" si="41"/>
        <v>0</v>
      </c>
      <c r="O95" s="15" t="str">
        <f t="shared" si="42"/>
        <v>NO</v>
      </c>
      <c r="P95" s="25" t="str">
        <f>IF(L95&lt;&gt;0, IF(L95="Gap", O95, IF(L96&lt;&gt;0,  IF(O95="NO", "NO", "YES"), IF(L98&lt;&gt;0, IF(AND(O95="NO", O96="NO"), "NO", "YES"), IF(L99&lt;&gt;0, IF(AND(O95="NO", O96="NO", O98="NO"), "NO", "YES"), IF(AND(O95="NO", O96="NO", O98="NO", O99="NO"), "NO", "YES"))))))</f>
        <v>NO</v>
      </c>
      <c r="Q95" s="25">
        <f t="shared" si="50"/>
        <v>0</v>
      </c>
      <c r="R95" s="25">
        <f t="shared" si="43"/>
        <v>0</v>
      </c>
      <c r="S95" s="25">
        <f t="shared" si="44"/>
        <v>0</v>
      </c>
      <c r="T95" s="12" t="s">
        <v>7</v>
      </c>
      <c r="U95" s="12" t="s">
        <v>35</v>
      </c>
      <c r="V95" s="25">
        <f t="shared" si="45"/>
        <v>0</v>
      </c>
      <c r="W95" s="10">
        <f t="shared" si="51"/>
        <v>0</v>
      </c>
      <c r="Y95" s="1">
        <f t="shared" si="46"/>
        <v>1</v>
      </c>
    </row>
    <row r="96" spans="1:25" ht="15.75" outlineLevel="1" thickBot="1" x14ac:dyDescent="0.3">
      <c r="A96" s="16" t="s">
        <v>5</v>
      </c>
      <c r="B96" s="16"/>
      <c r="C96" s="30">
        <v>0</v>
      </c>
      <c r="D96" s="17">
        <v>10</v>
      </c>
      <c r="E96" s="11">
        <f t="shared" si="47"/>
        <v>10</v>
      </c>
      <c r="F96" s="11">
        <f t="shared" si="39"/>
        <v>10</v>
      </c>
      <c r="G96" s="2">
        <f>VLOOKUP('930-4'!D96,Table1[],2,0)</f>
        <v>10.75</v>
      </c>
      <c r="H96" s="19">
        <f t="shared" si="48"/>
        <v>85.737700000000004</v>
      </c>
      <c r="I96" s="18">
        <f t="shared" si="49"/>
        <v>86</v>
      </c>
      <c r="J96" s="12">
        <v>40</v>
      </c>
      <c r="K96" s="12">
        <v>75</v>
      </c>
      <c r="L96" s="35"/>
      <c r="M96" s="14">
        <f t="shared" si="40"/>
        <v>0</v>
      </c>
      <c r="N96" s="15">
        <f t="shared" si="41"/>
        <v>0</v>
      </c>
      <c r="O96" s="15" t="str">
        <f t="shared" si="42"/>
        <v>NO</v>
      </c>
      <c r="P96" s="25" t="b">
        <f>IF(L96&lt;&gt;0, IF(L96="Gap", O96, IF(L98&lt;&gt;0,  IF(O96="NO", "NO", "YES"), IF(L99&lt;&gt;0, IF(AND(O96="NO", O98="NO"), "NO", "YES"), IF(L100&lt;&gt;0, IF(AND(O96="NO", O98="NO", O99="NO"), "NO", "YES"), IF(AND(O96="NO", O98="NO", O99="NO", O100="NO"), "NO", "YES"))))))</f>
        <v>0</v>
      </c>
      <c r="Q96" s="25">
        <f>IF(L96=0,0,IF(L97&lt;&gt;0,N96,IF(L98&lt;&gt;0,N96+N97,IF(L99&lt;&gt;0,N96+N97+N98,IF(L100&lt;&gt;0,N96+N97+N98+N99,IF(#REF!&lt;&gt;0,N96+N97+N98+N99+N100,N96+N97+N98+N99+N100+#REF!))))))</f>
        <v>0</v>
      </c>
      <c r="R96" s="25">
        <f t="shared" si="43"/>
        <v>0</v>
      </c>
      <c r="S96" s="25">
        <f>IF(L96=0, 0, IF(L97&lt;&gt;0, R96, IF(L98&lt;&gt;0, R96+R97, IF(L99&lt;&gt;0, R96+R97+R98, IF(L100&lt;&gt;0, R96+R97+R98+R99, IF(#REF!&lt;&gt;0, R96+R97+R98+R99+R100, R96+R97+R98+R99+R100+#REF!))))))</f>
        <v>0</v>
      </c>
      <c r="T96" s="12" t="s">
        <v>7</v>
      </c>
      <c r="U96" s="12" t="s">
        <v>35</v>
      </c>
      <c r="V96" s="25">
        <f t="shared" si="45"/>
        <v>0</v>
      </c>
      <c r="W96" s="10">
        <f t="shared" si="51"/>
        <v>0</v>
      </c>
      <c r="Y96" s="1">
        <f t="shared" si="46"/>
        <v>1</v>
      </c>
    </row>
    <row r="97" spans="1:25" ht="15.75" outlineLevel="1" thickBot="1" x14ac:dyDescent="0.3">
      <c r="A97" s="16"/>
      <c r="B97" s="16"/>
      <c r="C97" s="30">
        <v>0</v>
      </c>
      <c r="D97" s="17">
        <v>10</v>
      </c>
      <c r="E97" s="11">
        <f t="shared" si="47"/>
        <v>10</v>
      </c>
      <c r="F97" s="11">
        <f t="shared" si="39"/>
        <v>0</v>
      </c>
      <c r="G97" s="2">
        <f>VLOOKUP('930-4'!D97,Table1[],2,0)</f>
        <v>10.75</v>
      </c>
      <c r="H97" s="19">
        <f t="shared" si="48"/>
        <v>85.737700000000004</v>
      </c>
      <c r="I97" s="18">
        <f t="shared" si="49"/>
        <v>86</v>
      </c>
      <c r="J97" s="12">
        <v>40</v>
      </c>
      <c r="K97" s="12">
        <v>45</v>
      </c>
      <c r="L97" s="16" t="s">
        <v>13</v>
      </c>
      <c r="M97" s="14">
        <f t="shared" si="40"/>
        <v>0</v>
      </c>
      <c r="N97" s="15">
        <f t="shared" si="41"/>
        <v>0</v>
      </c>
      <c r="O97" s="15" t="str">
        <f t="shared" si="42"/>
        <v>NO</v>
      </c>
      <c r="P97" s="25" t="str">
        <f>IF(L97&lt;&gt;0, IF(L97="Gap", O97, IF(L98&lt;&gt;0,  IF(O97="NO", "NO", "YES"), IF(L99&lt;&gt;0, IF(AND(O97="NO", O98="NO"), "NO", "YES"), IF(L100&lt;&gt;0, IF(AND(O97="NO", O98="NO", O99="NO"), "NO", "YES"), IF(AND(O97="NO", O98="NO", O99="NO", O100="NO"), "NO", "YES"))))))</f>
        <v>NO</v>
      </c>
      <c r="Q97" s="25">
        <f>IF(L97=0,0,IF(L98&lt;&gt;0,N97,IF(L99&lt;&gt;0,N97+N98,IF(L100&lt;&gt;0,N97+N98+N99,IF(#REF!&lt;&gt;0,N97+N98+N99+N100,IF(#REF!&lt;&gt;0,N97+N98+N99+N100+#REF!,N97+N98+N99+N100+#REF!+#REF!))))))</f>
        <v>0</v>
      </c>
      <c r="R97" s="25">
        <f t="shared" si="43"/>
        <v>0</v>
      </c>
      <c r="S97" s="25">
        <f>IF(L97=0, 0, IF(L98&lt;&gt;0, R97, IF(L99&lt;&gt;0, R97+R98, IF(L100&lt;&gt;0, R97+R98+R99, IF(#REF!&lt;&gt;0, R97+R98+R99+R100, IF(#REF!&lt;&gt;0, R97+R98+R99+R100+#REF!, R97+R98+R99+R100+#REF!+#REF!))))))</f>
        <v>0</v>
      </c>
      <c r="T97" s="12" t="s">
        <v>7</v>
      </c>
      <c r="U97" s="12" t="s">
        <v>35</v>
      </c>
      <c r="V97" s="25">
        <f t="shared" si="45"/>
        <v>0</v>
      </c>
      <c r="W97" s="10">
        <f t="shared" si="51"/>
        <v>0</v>
      </c>
      <c r="Y97" s="1">
        <f>IF(L97="FULL",IF(L98=0,IF(L99=0,IF(L100=0,IF(#REF!=0,5,4),3),2),1),IF(L97=0,Y96,1))</f>
        <v>1</v>
      </c>
    </row>
    <row r="98" spans="1:25" outlineLevel="1" x14ac:dyDescent="0.25">
      <c r="A98" s="16"/>
      <c r="B98" s="16"/>
      <c r="C98" s="30">
        <v>0</v>
      </c>
      <c r="D98" s="17">
        <v>2</v>
      </c>
      <c r="E98" s="11">
        <f t="shared" si="47"/>
        <v>2</v>
      </c>
      <c r="F98" s="11">
        <f t="shared" si="39"/>
        <v>0</v>
      </c>
      <c r="G98" s="2">
        <f>VLOOKUP('930-4'!D98,Table1[],2,0)</f>
        <v>2.375</v>
      </c>
      <c r="H98" s="19">
        <f t="shared" si="48"/>
        <v>18.942050000000002</v>
      </c>
      <c r="I98" s="18">
        <f t="shared" si="49"/>
        <v>19</v>
      </c>
      <c r="J98" s="12">
        <v>40</v>
      </c>
      <c r="K98" s="12">
        <v>45</v>
      </c>
      <c r="L98" s="16" t="s">
        <v>13</v>
      </c>
      <c r="M98" s="14">
        <f t="shared" si="40"/>
        <v>0</v>
      </c>
      <c r="N98" s="15">
        <f t="shared" si="41"/>
        <v>0</v>
      </c>
      <c r="O98" s="15" t="str">
        <f t="shared" si="42"/>
        <v>NO</v>
      </c>
      <c r="P98" s="25" t="str">
        <f>IF(L98&lt;&gt;0, IF(L98="Gap", O98, IF(L99&lt;&gt;0,  IF(O98="NO", "NO", "YES"), IF(L100&lt;&gt;0, IF(AND(O98="NO", O99="NO"), "NO", "YES"), IF(#REF!&lt;&gt;0, IF(AND(O98="NO", O99="NO", O100="NO"), "NO", "YES"), IF(AND(O98="NO", O99="NO", O100="NO",#REF!= "NO"), "NO", "YES"))))))</f>
        <v>NO</v>
      </c>
      <c r="Q98" s="25">
        <f>IF(L98=0,0,IF(L99&lt;&gt;0,N98,IF(L100&lt;&gt;0,N98+N99,IF(#REF!&lt;&gt;0,N98+N99+N100,IF(#REF!&lt;&gt;0,N98+N99+N100+#REF!,IF(#REF!&lt;&gt;0,N98+N99+N100+#REF!+#REF!,N98+N99+N100+#REF!+#REF!+#REF!))))))</f>
        <v>0</v>
      </c>
      <c r="R98" s="25">
        <f t="shared" si="43"/>
        <v>0</v>
      </c>
      <c r="S98" s="25">
        <f>IF(L98=0, 0, IF(L99&lt;&gt;0, R98, IF(L100&lt;&gt;0, R98+R99, IF(#REF!&lt;&gt;0, R98+R99+R100, IF(#REF!&lt;&gt;0, R98+R99+R100+#REF!, IF(#REF!&lt;&gt;0, R98+R99+R100+#REF!+#REF!, R98+R99+R100+#REF!+#REF!+#REF!))))))</f>
        <v>0</v>
      </c>
      <c r="T98" s="12" t="s">
        <v>7</v>
      </c>
      <c r="U98" s="12" t="s">
        <v>35</v>
      </c>
      <c r="V98" s="25">
        <f t="shared" si="45"/>
        <v>0</v>
      </c>
      <c r="W98" s="10">
        <f t="shared" si="51"/>
        <v>0</v>
      </c>
      <c r="Y98" s="1">
        <f>IF(L98="FULL",IF(L99=0,IF(L100=0,IF(#REF!=0,IF(#REF!=0,5,4),3),2),1),IF(L98=0,Y97,1))</f>
        <v>1</v>
      </c>
    </row>
    <row r="99" spans="1:25" ht="15" customHeight="1" outlineLevel="1" x14ac:dyDescent="0.25">
      <c r="A99" s="29" t="s">
        <v>20</v>
      </c>
      <c r="B99" s="29" t="s">
        <v>20</v>
      </c>
      <c r="C99" s="29" t="s">
        <v>20</v>
      </c>
      <c r="D99" s="29" t="s">
        <v>20</v>
      </c>
      <c r="E99" s="29" t="s">
        <v>20</v>
      </c>
      <c r="F99" s="29"/>
      <c r="G99" s="29" t="s">
        <v>20</v>
      </c>
      <c r="H99" s="29" t="s">
        <v>20</v>
      </c>
      <c r="I99" s="29" t="s">
        <v>20</v>
      </c>
      <c r="J99" s="29" t="s">
        <v>20</v>
      </c>
      <c r="K99" s="29" t="s">
        <v>20</v>
      </c>
      <c r="L99" s="29" t="s">
        <v>20</v>
      </c>
      <c r="M99" s="29" t="s">
        <v>20</v>
      </c>
      <c r="N99" s="29" t="s">
        <v>20</v>
      </c>
      <c r="O99" s="29" t="s">
        <v>20</v>
      </c>
      <c r="P99" s="29" t="s">
        <v>20</v>
      </c>
      <c r="Q99" s="29" t="s">
        <v>20</v>
      </c>
      <c r="R99" s="29" t="s">
        <v>20</v>
      </c>
      <c r="S99" s="29" t="s">
        <v>20</v>
      </c>
      <c r="T99" s="29" t="s">
        <v>20</v>
      </c>
      <c r="U99" s="29" t="s">
        <v>20</v>
      </c>
      <c r="V99" s="29" t="s">
        <v>20</v>
      </c>
      <c r="W99" s="29" t="s">
        <v>20</v>
      </c>
      <c r="Y99" s="1">
        <f>IF(L99="FULL",IF(L100=0,IF(#REF!=0,IF(#REF!=0,IF(#REF!=0,5,4),3),2),1),IF(L99=0,Y98,1))</f>
        <v>1</v>
      </c>
    </row>
    <row r="100" spans="1:25" ht="15.75" thickBot="1" x14ac:dyDescent="0.3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21"/>
      <c r="N100" s="21"/>
      <c r="O100" s="21"/>
      <c r="P100" s="21"/>
      <c r="Q100" s="31">
        <f>SUM(Q83:Q98)</f>
        <v>64</v>
      </c>
      <c r="R100" s="31"/>
      <c r="S100" s="31">
        <f>SUM(R83:R98)</f>
        <v>64</v>
      </c>
      <c r="T100" s="31"/>
      <c r="U100" s="20"/>
      <c r="V100" s="21">
        <f>IF(COUNTIF(V83:V98,  "Segment Error")=0, IF(AND(SUM(V83:V98)&lt;50, COUNTIF(P83:P98, "YES")=0), 50, SUM(V83:V98)), "Segment Error")</f>
        <v>64</v>
      </c>
      <c r="W100" s="22">
        <f>V100*2400000</f>
        <v>153600000</v>
      </c>
      <c r="Y100" s="1">
        <f>IF(L100="FULL",IF(#REF!=0,IF(#REF!=0,IF(#REF!=0,IF(#REF!=0,5,4),3),2),1),IF(L100=0,Y99,1))</f>
        <v>1</v>
      </c>
    </row>
    <row r="101" spans="1:25" ht="27" customHeight="1" x14ac:dyDescent="0.25">
      <c r="A101" s="44" t="s">
        <v>42</v>
      </c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Y101" s="27" t="s">
        <v>17</v>
      </c>
    </row>
    <row r="102" spans="1:25" ht="15" hidden="1" customHeight="1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Y102" s="1">
        <v>1</v>
      </c>
    </row>
    <row r="103" spans="1:25" ht="15" hidden="1" customHeight="1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Y103" s="1">
        <v>1</v>
      </c>
    </row>
    <row r="104" spans="1:25" ht="15" hidden="1" customHeight="1" thickBot="1" x14ac:dyDescent="0.3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Y104" s="1">
        <v>1</v>
      </c>
    </row>
    <row r="105" spans="1:25" ht="15.75" thickBot="1" x14ac:dyDescent="0.3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Y105" s="1">
        <v>1</v>
      </c>
    </row>
    <row r="106" spans="1:25" ht="30" customHeight="1" x14ac:dyDescent="0.25">
      <c r="A106" s="37" t="s">
        <v>0</v>
      </c>
      <c r="B106" s="37" t="s">
        <v>8</v>
      </c>
      <c r="C106" s="39" t="s">
        <v>29</v>
      </c>
      <c r="D106" s="37" t="s">
        <v>28</v>
      </c>
      <c r="E106" s="37" t="s">
        <v>28</v>
      </c>
      <c r="F106" s="39" t="s">
        <v>33</v>
      </c>
      <c r="G106" s="39" t="s">
        <v>16</v>
      </c>
      <c r="H106" s="37" t="s">
        <v>9</v>
      </c>
      <c r="I106" s="39" t="s">
        <v>12</v>
      </c>
      <c r="J106" s="41" t="s">
        <v>1</v>
      </c>
      <c r="K106" s="41"/>
      <c r="L106" s="41"/>
      <c r="M106" s="37" t="s">
        <v>14</v>
      </c>
      <c r="N106" s="39" t="s">
        <v>18</v>
      </c>
      <c r="O106" s="39" t="s">
        <v>32</v>
      </c>
      <c r="P106" s="39" t="s">
        <v>21</v>
      </c>
      <c r="Q106" s="39" t="s">
        <v>30</v>
      </c>
      <c r="R106" s="39" t="s">
        <v>19</v>
      </c>
      <c r="S106" s="39" t="s">
        <v>25</v>
      </c>
      <c r="T106" s="41" t="s">
        <v>3</v>
      </c>
      <c r="U106" s="37" t="s">
        <v>4</v>
      </c>
      <c r="V106" s="37" t="s">
        <v>6</v>
      </c>
      <c r="W106" s="42" t="s">
        <v>15</v>
      </c>
      <c r="Y106" s="1">
        <v>1</v>
      </c>
    </row>
    <row r="107" spans="1:25" ht="30" customHeight="1" thickBot="1" x14ac:dyDescent="0.3">
      <c r="A107" s="38"/>
      <c r="B107" s="38"/>
      <c r="C107" s="40"/>
      <c r="D107" s="38"/>
      <c r="E107" s="38"/>
      <c r="F107" s="40"/>
      <c r="G107" s="40"/>
      <c r="H107" s="38"/>
      <c r="I107" s="40"/>
      <c r="J107" s="26" t="s">
        <v>26</v>
      </c>
      <c r="K107" s="26" t="s">
        <v>27</v>
      </c>
      <c r="L107" s="2" t="s">
        <v>2</v>
      </c>
      <c r="M107" s="38"/>
      <c r="N107" s="40"/>
      <c r="O107" s="40"/>
      <c r="P107" s="40"/>
      <c r="Q107" s="40"/>
      <c r="R107" s="40"/>
      <c r="S107" s="40"/>
      <c r="T107" s="46"/>
      <c r="U107" s="38"/>
      <c r="V107" s="38"/>
      <c r="W107" s="43"/>
      <c r="Y107" s="1">
        <v>1</v>
      </c>
    </row>
    <row r="108" spans="1:25" ht="15.75" outlineLevel="1" thickBot="1" x14ac:dyDescent="0.3">
      <c r="A108" s="12" t="s">
        <v>5</v>
      </c>
      <c r="B108" s="16"/>
      <c r="C108" s="30">
        <v>4</v>
      </c>
      <c r="D108" s="11">
        <v>2</v>
      </c>
      <c r="E108" s="11">
        <f>IF(D108="4.5 C", 4.5, IF(D108="4.8 C", 4.8, D108))</f>
        <v>2</v>
      </c>
      <c r="F108" s="11">
        <f t="shared" ref="F108:F123" si="52">IF(L108="Full", IF(Y108=1, E108*C108, E108), IF(L108="Gap", C108, E108))</f>
        <v>8</v>
      </c>
      <c r="G108" s="2">
        <f>VLOOKUP('930-4'!D108,Table1[],2,0)</f>
        <v>2.375</v>
      </c>
      <c r="H108" s="13">
        <f>G108*3.14*2.54</f>
        <v>18.942050000000002</v>
      </c>
      <c r="I108" s="2">
        <f>ROUNDUP(H108, 0)</f>
        <v>19</v>
      </c>
      <c r="J108" s="12">
        <v>40</v>
      </c>
      <c r="K108" s="12">
        <v>50</v>
      </c>
      <c r="L108" s="16" t="s">
        <v>13</v>
      </c>
      <c r="M108" s="14">
        <f t="shared" ref="M108:M123" si="53">IF(L108="Gap",C108, IF(E108&lt;=3, 3*C108, IF(L108="Full", C108*E108/Y108, IF(J108=K108,"Error", IF(K108&lt;J108, C108*(I108+K108-J108)*H108*E108/(3.14*2.54*I108*G108), C108*(K108-J108)*H108*E108/(3.14*2.54*I108*G108))))))</f>
        <v>12</v>
      </c>
      <c r="N108" s="15">
        <f t="shared" ref="N108:N123" si="54">IF(L108=0,IF(L107=0,IF(L106=0,IF(L105=0,IF(L104=0,IF(L103=0,IF(L102="Segment",M108,0),IF(L103="Segment",M108,0)),IF(L104="Segment",M108,0)),IF(L105="Segment",M108,0)),IF(L106="Segment",M108,0)),IF(L107="Segment",M108,0)),M108)</f>
        <v>12</v>
      </c>
      <c r="O108" s="15" t="str">
        <f t="shared" ref="O108:O123" si="55">IF(OR(T108="REJ",T108="NOT DONE-CONTRACTOR"), "YES", "NO")</f>
        <v>NO</v>
      </c>
      <c r="P108" s="25" t="str">
        <f>IF(L108&lt;&gt;0, IF(L108="Gap", O108, IF(L109&lt;&gt;0,  IF(O108="NO", "NO", "YES"), IF(L110&lt;&gt;0, IF(AND(O108="NO", O109="NO"), "NO", "YES"), IF(L111&lt;&gt;0, IF(AND(O108="NO", O109="NO", O110="NO"), "NO", "YES"), IF(AND(O108="NO", O109="NO", O110="NO", O111="NO"), "NO", "YES"))))))</f>
        <v>NO</v>
      </c>
      <c r="Q108" s="25">
        <f>IF(L108=0,0,IF(L109&lt;&gt;0,N108,IF(L110&lt;&gt;0,N108+N109,IF(L111&lt;&gt;0,N108+N109+N110,IF(L112&lt;&gt;0,N108+N109+N110+N111,IF(L113&lt;&gt;0,N108+N109+N110+N111+N112,N108+N109+N110+N111+N112+N113))))))</f>
        <v>12</v>
      </c>
      <c r="R108" s="25">
        <f t="shared" ref="R108:R123" si="56">IF(OR(T108="ACC", T108="REP", T108="RS", T108="RT"), N108, 0)</f>
        <v>12</v>
      </c>
      <c r="S108" s="25">
        <f t="shared" ref="S108:S120" si="57">IF(L108=0, 0, IF(L109&lt;&gt;0, R108, IF(L110&lt;&gt;0, R108+R109, IF(L111&lt;&gt;0, R108+R109+R110, IF(L112&lt;&gt;0, R108+R109+R110+R111, IF(L113&lt;&gt;0, R108+R109+R110+R111+R112, R108+R109+R110+R111+R112+R113))))))</f>
        <v>12</v>
      </c>
      <c r="T108" s="12" t="s">
        <v>7</v>
      </c>
      <c r="U108" s="12" t="s">
        <v>35</v>
      </c>
      <c r="V108" s="25">
        <f t="shared" ref="V108:V123" si="58">IF(OR(S108=0, P108=FALSE), 0, IF(AND(Q108&gt;3*C108, Q108&gt;F108), "Segment Error", IF(OR(P108="YES", L108="Gap"), S108, IF(E108&lt;3, S108, IF(S108&gt;F108/2, F108, F108/2)))))</f>
        <v>12</v>
      </c>
      <c r="W108" s="10">
        <f>V108*2400000</f>
        <v>28800000</v>
      </c>
      <c r="Y108" s="1">
        <f t="shared" ref="Y108:Y121" si="59">IF(L108="FULL",IF(L109=0,IF(L110=0,IF(L111=0,IF(L112=0,5,4),3),2),1),IF(L108=0,Y107,1))</f>
        <v>1</v>
      </c>
    </row>
    <row r="109" spans="1:25" ht="15.75" outlineLevel="1" thickBot="1" x14ac:dyDescent="0.3">
      <c r="A109" s="12" t="s">
        <v>5</v>
      </c>
      <c r="B109" s="16"/>
      <c r="C109" s="30">
        <v>2</v>
      </c>
      <c r="D109" s="11">
        <v>10</v>
      </c>
      <c r="E109" s="11">
        <f t="shared" ref="E109:E123" si="60">IF(D109="4.5 C", 4.5, IF(D109="4.8 C", 4.8, D109))</f>
        <v>10</v>
      </c>
      <c r="F109" s="11">
        <f t="shared" si="52"/>
        <v>20</v>
      </c>
      <c r="G109" s="2">
        <f>VLOOKUP('930-4'!D109,Table1[],2,0)</f>
        <v>10.75</v>
      </c>
      <c r="H109" s="13">
        <f t="shared" ref="H109:H123" si="61">G109*3.14*2.54</f>
        <v>85.737700000000004</v>
      </c>
      <c r="I109" s="2">
        <f t="shared" ref="I109:I123" si="62">ROUNDUP(H109, 0)</f>
        <v>86</v>
      </c>
      <c r="J109" s="12">
        <v>4</v>
      </c>
      <c r="K109" s="12">
        <v>13</v>
      </c>
      <c r="L109" s="16" t="s">
        <v>13</v>
      </c>
      <c r="M109" s="14">
        <f t="shared" si="53"/>
        <v>20</v>
      </c>
      <c r="N109" s="15">
        <f t="shared" si="54"/>
        <v>20</v>
      </c>
      <c r="O109" s="15" t="str">
        <f t="shared" si="55"/>
        <v>NO</v>
      </c>
      <c r="P109" s="25" t="str">
        <f>IF(L109&lt;&gt;0, IF(L109="Gap", O109, IF(L110&lt;&gt;0,  IF(O109="NO", "NO", "YES"), IF(L111&lt;&gt;0, IF(AND(O109="NO", O110="NO"), "NO", "YES"), IF(L112&lt;&gt;0, IF(AND(O109="NO", O110="NO", O111="NO"), "NO", "YES"), IF(AND(O109="NO", O110="NO", O111="NO", O112="NO"), "NO", "YES"))))))</f>
        <v>NO</v>
      </c>
      <c r="Q109" s="25">
        <f t="shared" ref="Q109:Q120" si="63">IF(L109=0,0,IF(L110&lt;&gt;0,N109,IF(L111&lt;&gt;0,N109+N110,IF(L112&lt;&gt;0,N109+N110+N111,IF(L113&lt;&gt;0,N109+N110+N111+N112,IF(L114&lt;&gt;0,N109+N110+N111+N112+N113,N109+N110+N111+N112+N113+N114))))))</f>
        <v>20</v>
      </c>
      <c r="R109" s="25">
        <f t="shared" si="56"/>
        <v>20</v>
      </c>
      <c r="S109" s="25">
        <f t="shared" si="57"/>
        <v>20</v>
      </c>
      <c r="T109" s="12" t="s">
        <v>7</v>
      </c>
      <c r="U109" s="12" t="s">
        <v>35</v>
      </c>
      <c r="V109" s="25">
        <f t="shared" si="58"/>
        <v>20</v>
      </c>
      <c r="W109" s="10">
        <f t="shared" ref="W109:W123" si="64">V109*2400000</f>
        <v>48000000</v>
      </c>
      <c r="Y109" s="1">
        <f t="shared" si="59"/>
        <v>1</v>
      </c>
    </row>
    <row r="110" spans="1:25" ht="15.75" outlineLevel="1" thickBot="1" x14ac:dyDescent="0.3">
      <c r="A110" s="12" t="s">
        <v>5</v>
      </c>
      <c r="B110" s="16"/>
      <c r="C110" s="30">
        <v>0</v>
      </c>
      <c r="D110" s="11">
        <v>4</v>
      </c>
      <c r="E110" s="11">
        <f t="shared" si="60"/>
        <v>4</v>
      </c>
      <c r="F110" s="11">
        <f t="shared" si="52"/>
        <v>0</v>
      </c>
      <c r="G110" s="2">
        <f>VLOOKUP('930-4'!D110,Table1[],2,0)</f>
        <v>4.5</v>
      </c>
      <c r="H110" s="13">
        <f t="shared" si="61"/>
        <v>35.8902</v>
      </c>
      <c r="I110" s="2">
        <f t="shared" si="62"/>
        <v>36</v>
      </c>
      <c r="J110" s="12">
        <v>4</v>
      </c>
      <c r="K110" s="12">
        <v>13</v>
      </c>
      <c r="L110" s="16" t="s">
        <v>13</v>
      </c>
      <c r="M110" s="14">
        <f t="shared" si="53"/>
        <v>0</v>
      </c>
      <c r="N110" s="15">
        <f t="shared" si="54"/>
        <v>0</v>
      </c>
      <c r="O110" s="15" t="str">
        <f t="shared" si="55"/>
        <v>NO</v>
      </c>
      <c r="P110" s="25" t="str">
        <f>IF(L110&lt;&gt;0, IF(L110="Gap", O110, IF(L111&lt;&gt;0,  IF(O110="NO", "NO", "YES"), IF(L112&lt;&gt;0, IF(AND(O110="NO", O111="NO"), "NO", "YES"), IF(L118&lt;&gt;0, IF(AND(O110="NO", O111="NO", O112="NO"), "NO", "YES"), IF(AND(O110="NO", O111="NO", O112="NO", O118="NO"), "NO", "YES"))))))</f>
        <v>NO</v>
      </c>
      <c r="Q110" s="25">
        <f t="shared" si="63"/>
        <v>0</v>
      </c>
      <c r="R110" s="25">
        <f t="shared" si="56"/>
        <v>0</v>
      </c>
      <c r="S110" s="25">
        <f t="shared" si="57"/>
        <v>0</v>
      </c>
      <c r="T110" s="12" t="s">
        <v>7</v>
      </c>
      <c r="U110" s="12" t="s">
        <v>35</v>
      </c>
      <c r="V110" s="25">
        <f t="shared" si="58"/>
        <v>0</v>
      </c>
      <c r="W110" s="10">
        <f t="shared" si="64"/>
        <v>0</v>
      </c>
      <c r="X110" s="33"/>
      <c r="Y110" s="1">
        <f t="shared" si="59"/>
        <v>1</v>
      </c>
    </row>
    <row r="111" spans="1:25" ht="15.75" outlineLevel="1" thickBot="1" x14ac:dyDescent="0.3">
      <c r="A111" s="12" t="s">
        <v>5</v>
      </c>
      <c r="B111" s="16"/>
      <c r="C111" s="30">
        <v>0</v>
      </c>
      <c r="D111" s="11">
        <v>3</v>
      </c>
      <c r="E111" s="11">
        <f t="shared" si="60"/>
        <v>3</v>
      </c>
      <c r="F111" s="11">
        <f t="shared" si="52"/>
        <v>0</v>
      </c>
      <c r="G111" s="2">
        <f>VLOOKUP('930-4'!D111,Table1[],2,0)</f>
        <v>3.5</v>
      </c>
      <c r="H111" s="13">
        <f t="shared" si="61"/>
        <v>27.9146</v>
      </c>
      <c r="I111" s="2">
        <f t="shared" si="62"/>
        <v>28</v>
      </c>
      <c r="J111" s="12">
        <v>20</v>
      </c>
      <c r="K111" s="12">
        <v>40</v>
      </c>
      <c r="L111" s="16" t="s">
        <v>13</v>
      </c>
      <c r="M111" s="14">
        <f t="shared" si="53"/>
        <v>0</v>
      </c>
      <c r="N111" s="15">
        <f t="shared" si="54"/>
        <v>0</v>
      </c>
      <c r="O111" s="15" t="str">
        <f t="shared" si="55"/>
        <v>NO</v>
      </c>
      <c r="P111" s="25" t="str">
        <f>IF(L111&lt;&gt;0, IF(L111="Gap", O111, IF(L112&lt;&gt;0,  IF(O111="NO", "NO", "YES"), IF(L118&lt;&gt;0, IF(AND(O111="NO", O112="NO"), "NO", "YES"), IF(L119&lt;&gt;0, IF(AND(O111="NO", O112="NO", O118="NO"), "NO", "YES"), IF(AND(O111="NO", O112="NO", O118="NO", O119="NO"), "NO", "YES"))))))</f>
        <v>NO</v>
      </c>
      <c r="Q111" s="25">
        <f t="shared" si="63"/>
        <v>0</v>
      </c>
      <c r="R111" s="25">
        <f t="shared" si="56"/>
        <v>0</v>
      </c>
      <c r="S111" s="25">
        <f t="shared" si="57"/>
        <v>0</v>
      </c>
      <c r="T111" s="12" t="s">
        <v>7</v>
      </c>
      <c r="U111" s="12" t="s">
        <v>35</v>
      </c>
      <c r="V111" s="25">
        <f t="shared" si="58"/>
        <v>0</v>
      </c>
      <c r="W111" s="10">
        <f t="shared" si="64"/>
        <v>0</v>
      </c>
      <c r="Y111" s="1">
        <f t="shared" si="59"/>
        <v>1</v>
      </c>
    </row>
    <row r="112" spans="1:25" ht="15.75" outlineLevel="1" thickBot="1" x14ac:dyDescent="0.3">
      <c r="A112" s="12" t="s">
        <v>5</v>
      </c>
      <c r="B112" s="16"/>
      <c r="C112" s="30">
        <v>0</v>
      </c>
      <c r="D112" s="11">
        <v>20</v>
      </c>
      <c r="E112" s="11">
        <f t="shared" si="60"/>
        <v>20</v>
      </c>
      <c r="F112" s="11">
        <f t="shared" si="52"/>
        <v>0</v>
      </c>
      <c r="G112" s="2">
        <f>VLOOKUP('930-4'!D112,Table1[],2,0)</f>
        <v>20</v>
      </c>
      <c r="H112" s="13">
        <f t="shared" si="61"/>
        <v>159.512</v>
      </c>
      <c r="I112" s="2">
        <f t="shared" si="62"/>
        <v>160</v>
      </c>
      <c r="J112" s="12">
        <v>65</v>
      </c>
      <c r="K112" s="12">
        <v>85</v>
      </c>
      <c r="L112" s="16" t="s">
        <v>13</v>
      </c>
      <c r="M112" s="14">
        <f t="shared" si="53"/>
        <v>0</v>
      </c>
      <c r="N112" s="15">
        <f t="shared" si="54"/>
        <v>0</v>
      </c>
      <c r="O112" s="15" t="str">
        <f t="shared" si="55"/>
        <v>NO</v>
      </c>
      <c r="P112" s="25" t="str">
        <f>IF(L112&lt;&gt;0, IF(L112="Gap", O112, IF(L118&lt;&gt;0,  IF(O112="NO", "NO", "YES"), IF(L119&lt;&gt;0, IF(AND(O112="NO", O118="NO"), "NO", "YES"), IF(L120&lt;&gt;0, IF(AND(O112="NO", O118="NO", O119="NO"), "NO", "YES"), IF(AND(O112="NO", O118="NO", O119="NO", O120="NO"), "NO", "YES"))))))</f>
        <v>NO</v>
      </c>
      <c r="Q112" s="25">
        <f t="shared" si="63"/>
        <v>0</v>
      </c>
      <c r="R112" s="25">
        <f t="shared" si="56"/>
        <v>0</v>
      </c>
      <c r="S112" s="25">
        <f t="shared" si="57"/>
        <v>0</v>
      </c>
      <c r="T112" s="12" t="s">
        <v>7</v>
      </c>
      <c r="U112" s="12" t="s">
        <v>35</v>
      </c>
      <c r="V112" s="25">
        <f t="shared" si="58"/>
        <v>0</v>
      </c>
      <c r="W112" s="10">
        <f t="shared" si="64"/>
        <v>0</v>
      </c>
      <c r="Y112" s="1">
        <f t="shared" si="59"/>
        <v>1</v>
      </c>
    </row>
    <row r="113" spans="1:25" ht="15.75" outlineLevel="1" thickBot="1" x14ac:dyDescent="0.3">
      <c r="A113" s="12" t="s">
        <v>5</v>
      </c>
      <c r="B113" s="32"/>
      <c r="C113" s="30">
        <v>0</v>
      </c>
      <c r="D113" s="11">
        <v>10</v>
      </c>
      <c r="E113" s="11">
        <f t="shared" si="60"/>
        <v>10</v>
      </c>
      <c r="F113" s="11">
        <f t="shared" si="52"/>
        <v>0</v>
      </c>
      <c r="G113" s="2">
        <f>VLOOKUP('930-4'!D113,Table1[],2,0)</f>
        <v>10.75</v>
      </c>
      <c r="H113" s="13">
        <f t="shared" si="61"/>
        <v>85.737700000000004</v>
      </c>
      <c r="I113" s="2">
        <f t="shared" si="62"/>
        <v>86</v>
      </c>
      <c r="J113" s="12">
        <v>40</v>
      </c>
      <c r="K113" s="12">
        <v>125</v>
      </c>
      <c r="L113" s="16" t="s">
        <v>13</v>
      </c>
      <c r="M113" s="14">
        <f t="shared" si="53"/>
        <v>0</v>
      </c>
      <c r="N113" s="15">
        <f t="shared" si="54"/>
        <v>0</v>
      </c>
      <c r="O113" s="15" t="str">
        <f t="shared" si="55"/>
        <v>NO</v>
      </c>
      <c r="P113" s="25" t="str">
        <f>IF(L113&lt;&gt;0, IF(L113="Gap", O113, IF(L114&lt;&gt;0,  IF(O113="NO", "NO", "YES"), IF(L115&lt;&gt;0, IF(AND(O113="NO", O114="NO"), "NO", "YES"), IF(L116&lt;&gt;0, IF(AND(O113="NO", O114="NO", O115="NO"), "NO", "YES"), IF(AND(O113="NO", O114="NO", O115="NO", O116="NO"), "NO", "YES"))))))</f>
        <v>NO</v>
      </c>
      <c r="Q113" s="25">
        <f t="shared" si="63"/>
        <v>0</v>
      </c>
      <c r="R113" s="25">
        <f t="shared" si="56"/>
        <v>0</v>
      </c>
      <c r="S113" s="25">
        <f t="shared" si="57"/>
        <v>0</v>
      </c>
      <c r="T113" s="12" t="s">
        <v>7</v>
      </c>
      <c r="U113" s="12" t="s">
        <v>35</v>
      </c>
      <c r="V113" s="25">
        <f t="shared" si="58"/>
        <v>0</v>
      </c>
      <c r="W113" s="10">
        <f t="shared" si="64"/>
        <v>0</v>
      </c>
      <c r="Y113" s="1">
        <f t="shared" si="59"/>
        <v>1</v>
      </c>
    </row>
    <row r="114" spans="1:25" ht="15.75" outlineLevel="1" thickBot="1" x14ac:dyDescent="0.3">
      <c r="A114" s="12" t="s">
        <v>5</v>
      </c>
      <c r="B114" s="16"/>
      <c r="C114" s="30">
        <v>0</v>
      </c>
      <c r="D114" s="11">
        <v>6</v>
      </c>
      <c r="E114" s="11">
        <f t="shared" si="60"/>
        <v>6</v>
      </c>
      <c r="F114" s="11">
        <f t="shared" si="52"/>
        <v>6</v>
      </c>
      <c r="G114" s="2">
        <f>VLOOKUP('930-4'!D114,Table1[],2,0)</f>
        <v>6.625</v>
      </c>
      <c r="H114" s="13">
        <f t="shared" si="61"/>
        <v>52.838350000000005</v>
      </c>
      <c r="I114" s="2">
        <f t="shared" si="62"/>
        <v>53</v>
      </c>
      <c r="J114" s="12">
        <v>40</v>
      </c>
      <c r="K114" s="12">
        <v>125</v>
      </c>
      <c r="L114" s="16" t="s">
        <v>34</v>
      </c>
      <c r="M114" s="14">
        <f t="shared" si="53"/>
        <v>0</v>
      </c>
      <c r="N114" s="15">
        <f t="shared" si="54"/>
        <v>0</v>
      </c>
      <c r="O114" s="15" t="str">
        <f t="shared" si="55"/>
        <v>NO</v>
      </c>
      <c r="P114" s="25" t="str">
        <f>IF(L114&lt;&gt;0, IF(L114="Gap", O114, IF(L115&lt;&gt;0,  IF(O114="NO", "NO", "YES"), IF(L116&lt;&gt;0, IF(AND(O114="NO", O115="NO"), "NO", "YES"), IF(L118&lt;&gt;0, IF(AND(O114="NO", O115="NO", O116="NO"), "NO", "YES"), IF(AND(O114="NO", O115="NO", O116="NO", O118="NO"), "NO", "YES"))))))</f>
        <v>NO</v>
      </c>
      <c r="Q114" s="25">
        <f t="shared" si="63"/>
        <v>0</v>
      </c>
      <c r="R114" s="25">
        <f t="shared" si="56"/>
        <v>0</v>
      </c>
      <c r="S114" s="25">
        <f t="shared" si="57"/>
        <v>0</v>
      </c>
      <c r="T114" s="12" t="s">
        <v>7</v>
      </c>
      <c r="U114" s="12" t="s">
        <v>35</v>
      </c>
      <c r="V114" s="25">
        <f t="shared" si="58"/>
        <v>0</v>
      </c>
      <c r="W114" s="10">
        <f t="shared" si="64"/>
        <v>0</v>
      </c>
      <c r="Y114" s="1">
        <f t="shared" si="59"/>
        <v>1</v>
      </c>
    </row>
    <row r="115" spans="1:25" ht="15.75" outlineLevel="1" thickBot="1" x14ac:dyDescent="0.3">
      <c r="A115" s="12" t="s">
        <v>5</v>
      </c>
      <c r="B115" s="16"/>
      <c r="C115" s="30">
        <v>0</v>
      </c>
      <c r="D115" s="11">
        <v>18</v>
      </c>
      <c r="E115" s="11">
        <f t="shared" si="60"/>
        <v>18</v>
      </c>
      <c r="F115" s="11">
        <f t="shared" si="52"/>
        <v>18</v>
      </c>
      <c r="G115" s="2">
        <f>VLOOKUP('930-4'!D115,Table1[],2,0)</f>
        <v>18</v>
      </c>
      <c r="H115" s="13">
        <f t="shared" si="61"/>
        <v>143.5608</v>
      </c>
      <c r="I115" s="2">
        <f t="shared" si="62"/>
        <v>144</v>
      </c>
      <c r="J115" s="12">
        <v>40</v>
      </c>
      <c r="K115" s="12">
        <v>45</v>
      </c>
      <c r="L115" s="34" t="s">
        <v>34</v>
      </c>
      <c r="M115" s="14">
        <f t="shared" si="53"/>
        <v>0</v>
      </c>
      <c r="N115" s="15">
        <f t="shared" si="54"/>
        <v>0</v>
      </c>
      <c r="O115" s="15" t="str">
        <f t="shared" si="55"/>
        <v>NO</v>
      </c>
      <c r="P115" s="25" t="str">
        <f>IF(L115&lt;&gt;0, IF(L115="Gap", O115, IF(L116&lt;&gt;0,  IF(O115="NO", "NO", "YES"), IF(L118&lt;&gt;0, IF(AND(O115="NO", O116="NO"), "NO", "YES"), IF(L119&lt;&gt;0, IF(AND(O115="NO", O116="NO", O118="NO"), "NO", "YES"), IF(AND(O115="NO", O116="NO", O118="NO", O119="NO"), "NO", "YES"))))))</f>
        <v>NO</v>
      </c>
      <c r="Q115" s="25">
        <f t="shared" si="63"/>
        <v>0</v>
      </c>
      <c r="R115" s="25">
        <f t="shared" si="56"/>
        <v>0</v>
      </c>
      <c r="S115" s="25">
        <f t="shared" si="57"/>
        <v>0</v>
      </c>
      <c r="T115" s="12" t="s">
        <v>7</v>
      </c>
      <c r="U115" s="12" t="s">
        <v>35</v>
      </c>
      <c r="V115" s="25">
        <f t="shared" si="58"/>
        <v>0</v>
      </c>
      <c r="W115" s="10">
        <f t="shared" si="64"/>
        <v>0</v>
      </c>
      <c r="Y115" s="1">
        <f t="shared" si="59"/>
        <v>1</v>
      </c>
    </row>
    <row r="116" spans="1:25" ht="15.75" outlineLevel="1" thickBot="1" x14ac:dyDescent="0.3">
      <c r="A116" s="16" t="s">
        <v>5</v>
      </c>
      <c r="B116" s="16"/>
      <c r="C116" s="30">
        <v>0</v>
      </c>
      <c r="D116" s="17">
        <v>18</v>
      </c>
      <c r="E116" s="11">
        <f t="shared" si="60"/>
        <v>18</v>
      </c>
      <c r="F116" s="11">
        <f t="shared" si="52"/>
        <v>18</v>
      </c>
      <c r="G116" s="2">
        <f>VLOOKUP('930-4'!D116,Table1[],2,0)</f>
        <v>18</v>
      </c>
      <c r="H116" s="19">
        <f t="shared" si="61"/>
        <v>143.5608</v>
      </c>
      <c r="I116" s="18">
        <f t="shared" si="62"/>
        <v>144</v>
      </c>
      <c r="J116" s="12">
        <v>40</v>
      </c>
      <c r="K116" s="12">
        <v>10</v>
      </c>
      <c r="L116" s="35"/>
      <c r="M116" s="14">
        <f t="shared" si="53"/>
        <v>0</v>
      </c>
      <c r="N116" s="15">
        <f t="shared" si="54"/>
        <v>0</v>
      </c>
      <c r="O116" s="15" t="str">
        <f t="shared" si="55"/>
        <v>NO</v>
      </c>
      <c r="P116" s="25" t="b">
        <f>IF(L116&lt;&gt;0, IF(L116="Gap", O116, IF(L118&lt;&gt;0,  IF(O116="NO", "NO", "YES"), IF(L119&lt;&gt;0, IF(AND(O116="NO", O118="NO"), "NO", "YES"), IF(L120&lt;&gt;0, IF(AND(O116="NO", O118="NO", O119="NO"), "NO", "YES"), IF(AND(O116="NO", O118="NO", O119="NO", O120="NO"), "NO", "YES"))))))</f>
        <v>0</v>
      </c>
      <c r="Q116" s="25">
        <f t="shared" si="63"/>
        <v>0</v>
      </c>
      <c r="R116" s="25">
        <f t="shared" si="56"/>
        <v>0</v>
      </c>
      <c r="S116" s="25">
        <f t="shared" si="57"/>
        <v>0</v>
      </c>
      <c r="T116" s="12" t="s">
        <v>7</v>
      </c>
      <c r="U116" s="12" t="s">
        <v>35</v>
      </c>
      <c r="V116" s="25">
        <f t="shared" si="58"/>
        <v>0</v>
      </c>
      <c r="W116" s="10">
        <f t="shared" si="64"/>
        <v>0</v>
      </c>
      <c r="Y116" s="1">
        <f t="shared" si="59"/>
        <v>1</v>
      </c>
    </row>
    <row r="117" spans="1:25" ht="15.75" outlineLevel="1" thickBot="1" x14ac:dyDescent="0.3">
      <c r="A117" s="12" t="s">
        <v>5</v>
      </c>
      <c r="B117" s="16"/>
      <c r="C117" s="30">
        <v>0</v>
      </c>
      <c r="D117" s="11">
        <v>10</v>
      </c>
      <c r="E117" s="11">
        <f t="shared" si="60"/>
        <v>10</v>
      </c>
      <c r="F117" s="11">
        <f t="shared" si="52"/>
        <v>0</v>
      </c>
      <c r="G117" s="2">
        <f>VLOOKUP('930-4'!D117,Table1[],2,0)</f>
        <v>10.75</v>
      </c>
      <c r="H117" s="13">
        <f t="shared" si="61"/>
        <v>85.737700000000004</v>
      </c>
      <c r="I117" s="2">
        <f t="shared" si="62"/>
        <v>86</v>
      </c>
      <c r="J117" s="12">
        <v>40</v>
      </c>
      <c r="K117" s="12">
        <v>35</v>
      </c>
      <c r="L117" s="16" t="s">
        <v>13</v>
      </c>
      <c r="M117" s="14">
        <f t="shared" si="53"/>
        <v>0</v>
      </c>
      <c r="N117" s="15">
        <f t="shared" si="54"/>
        <v>0</v>
      </c>
      <c r="O117" s="15" t="str">
        <f t="shared" si="55"/>
        <v>NO</v>
      </c>
      <c r="P117" s="25" t="str">
        <f>IF(L117&lt;&gt;0, IF(L117="Gap", O117, IF(L123&lt;&gt;0,  IF(O117="NO", "NO", "YES"), IF(L124&lt;&gt;0, IF(AND(O117="NO", O123="NO"), "NO", "YES"), IF(L125&lt;&gt;0, IF(AND(O117="NO", O123="NO", O124="NO"), "NO", "YES"), IF(AND(O117="NO", O123="NO", O124="NO", O125="NO"), "NO", "YES"))))))</f>
        <v>NO</v>
      </c>
      <c r="Q117" s="25">
        <f t="shared" si="63"/>
        <v>0</v>
      </c>
      <c r="R117" s="25">
        <f t="shared" si="56"/>
        <v>0</v>
      </c>
      <c r="S117" s="25">
        <f t="shared" si="57"/>
        <v>0</v>
      </c>
      <c r="T117" s="12" t="s">
        <v>7</v>
      </c>
      <c r="U117" s="12" t="s">
        <v>35</v>
      </c>
      <c r="V117" s="25">
        <f t="shared" si="58"/>
        <v>0</v>
      </c>
      <c r="W117" s="10">
        <f t="shared" si="64"/>
        <v>0</v>
      </c>
      <c r="Y117" s="1">
        <f t="shared" si="59"/>
        <v>1</v>
      </c>
    </row>
    <row r="118" spans="1:25" ht="15.75" outlineLevel="1" thickBot="1" x14ac:dyDescent="0.3">
      <c r="A118" s="12" t="s">
        <v>5</v>
      </c>
      <c r="B118" s="32"/>
      <c r="C118" s="30">
        <v>0</v>
      </c>
      <c r="D118" s="11">
        <v>10</v>
      </c>
      <c r="E118" s="11">
        <f t="shared" si="60"/>
        <v>10</v>
      </c>
      <c r="F118" s="11">
        <f t="shared" si="52"/>
        <v>10</v>
      </c>
      <c r="G118" s="2">
        <f>VLOOKUP('930-4'!D118,Table1[],2,0)</f>
        <v>10.75</v>
      </c>
      <c r="H118" s="13">
        <f t="shared" si="61"/>
        <v>85.737700000000004</v>
      </c>
      <c r="I118" s="2">
        <f t="shared" si="62"/>
        <v>86</v>
      </c>
      <c r="J118" s="12">
        <v>40</v>
      </c>
      <c r="K118" s="12">
        <v>50</v>
      </c>
      <c r="L118" s="34" t="s">
        <v>34</v>
      </c>
      <c r="M118" s="14">
        <f t="shared" si="53"/>
        <v>0</v>
      </c>
      <c r="N118" s="15">
        <f t="shared" si="54"/>
        <v>0</v>
      </c>
      <c r="O118" s="15" t="str">
        <f t="shared" si="55"/>
        <v>NO</v>
      </c>
      <c r="P118" s="25" t="str">
        <f>IF(L118&lt;&gt;0, IF(L118="Gap", O118, IF(L119&lt;&gt;0,  IF(O118="NO", "NO", "YES"), IF(L120&lt;&gt;0, IF(AND(O118="NO", O119="NO"), "NO", "YES"), IF(L121&lt;&gt;0, IF(AND(O118="NO", O119="NO", O120="NO"), "NO", "YES"), IF(AND(O118="NO", O119="NO", O120="NO", O121="NO"), "NO", "YES"))))))</f>
        <v>NO</v>
      </c>
      <c r="Q118" s="25">
        <f t="shared" si="63"/>
        <v>0</v>
      </c>
      <c r="R118" s="25">
        <f t="shared" si="56"/>
        <v>0</v>
      </c>
      <c r="S118" s="25">
        <f t="shared" si="57"/>
        <v>0</v>
      </c>
      <c r="T118" s="12" t="s">
        <v>7</v>
      </c>
      <c r="U118" s="12" t="s">
        <v>35</v>
      </c>
      <c r="V118" s="25">
        <f t="shared" si="58"/>
        <v>0</v>
      </c>
      <c r="W118" s="10">
        <f t="shared" si="64"/>
        <v>0</v>
      </c>
      <c r="Y118" s="1">
        <f t="shared" si="59"/>
        <v>1</v>
      </c>
    </row>
    <row r="119" spans="1:25" ht="15.75" outlineLevel="1" thickBot="1" x14ac:dyDescent="0.3">
      <c r="A119" s="12" t="s">
        <v>5</v>
      </c>
      <c r="B119" s="16"/>
      <c r="C119" s="30">
        <v>0</v>
      </c>
      <c r="D119" s="11">
        <v>10</v>
      </c>
      <c r="E119" s="11">
        <f t="shared" si="60"/>
        <v>10</v>
      </c>
      <c r="F119" s="11">
        <f t="shared" si="52"/>
        <v>10</v>
      </c>
      <c r="G119" s="2">
        <f>VLOOKUP('930-4'!D119,Table1[],2,0)</f>
        <v>10.75</v>
      </c>
      <c r="H119" s="13">
        <f t="shared" si="61"/>
        <v>85.737700000000004</v>
      </c>
      <c r="I119" s="2">
        <f t="shared" si="62"/>
        <v>86</v>
      </c>
      <c r="J119" s="12">
        <v>40</v>
      </c>
      <c r="K119" s="12">
        <v>80</v>
      </c>
      <c r="L119" s="35"/>
      <c r="M119" s="14">
        <f t="shared" si="53"/>
        <v>0</v>
      </c>
      <c r="N119" s="15">
        <f t="shared" si="54"/>
        <v>0</v>
      </c>
      <c r="O119" s="15" t="str">
        <f t="shared" si="55"/>
        <v>NO</v>
      </c>
      <c r="P119" s="25" t="b">
        <f>IF(L119&lt;&gt;0, IF(L119="Gap", O119, IF(L120&lt;&gt;0,  IF(O119="NO", "NO", "YES"), IF(L121&lt;&gt;0, IF(AND(O119="NO", O120="NO"), "NO", "YES"), IF(L123&lt;&gt;0, IF(AND(O119="NO", O120="NO", O121="NO"), "NO", "YES"), IF(AND(O119="NO", O120="NO", O121="NO", O123="NO"), "NO", "YES"))))))</f>
        <v>0</v>
      </c>
      <c r="Q119" s="25">
        <f t="shared" si="63"/>
        <v>0</v>
      </c>
      <c r="R119" s="25">
        <f t="shared" si="56"/>
        <v>0</v>
      </c>
      <c r="S119" s="25">
        <f t="shared" si="57"/>
        <v>0</v>
      </c>
      <c r="T119" s="12" t="s">
        <v>7</v>
      </c>
      <c r="U119" s="12" t="s">
        <v>35</v>
      </c>
      <c r="V119" s="25">
        <f t="shared" si="58"/>
        <v>0</v>
      </c>
      <c r="W119" s="10">
        <f t="shared" si="64"/>
        <v>0</v>
      </c>
      <c r="Y119" s="1">
        <f t="shared" si="59"/>
        <v>1</v>
      </c>
    </row>
    <row r="120" spans="1:25" ht="15.75" outlineLevel="1" thickBot="1" x14ac:dyDescent="0.3">
      <c r="A120" s="12" t="s">
        <v>5</v>
      </c>
      <c r="B120" s="16"/>
      <c r="C120" s="30">
        <v>0</v>
      </c>
      <c r="D120" s="11">
        <v>10</v>
      </c>
      <c r="E120" s="11">
        <f t="shared" si="60"/>
        <v>10</v>
      </c>
      <c r="F120" s="11">
        <f t="shared" si="52"/>
        <v>10</v>
      </c>
      <c r="G120" s="2">
        <f>VLOOKUP('930-4'!D120,Table1[],2,0)</f>
        <v>10.75</v>
      </c>
      <c r="H120" s="13">
        <f t="shared" si="61"/>
        <v>85.737700000000004</v>
      </c>
      <c r="I120" s="2">
        <f t="shared" si="62"/>
        <v>86</v>
      </c>
      <c r="J120" s="12">
        <v>40</v>
      </c>
      <c r="K120" s="12">
        <v>55</v>
      </c>
      <c r="L120" s="34" t="s">
        <v>34</v>
      </c>
      <c r="M120" s="14">
        <f t="shared" si="53"/>
        <v>0</v>
      </c>
      <c r="N120" s="15">
        <f t="shared" si="54"/>
        <v>0</v>
      </c>
      <c r="O120" s="15" t="str">
        <f t="shared" si="55"/>
        <v>NO</v>
      </c>
      <c r="P120" s="25" t="str">
        <f>IF(L120&lt;&gt;0, IF(L120="Gap", O120, IF(L121&lt;&gt;0,  IF(O120="NO", "NO", "YES"), IF(L123&lt;&gt;0, IF(AND(O120="NO", O121="NO"), "NO", "YES"), IF(L124&lt;&gt;0, IF(AND(O120="NO", O121="NO", O123="NO"), "NO", "YES"), IF(AND(O120="NO", O121="NO", O123="NO", O124="NO"), "NO", "YES"))))))</f>
        <v>NO</v>
      </c>
      <c r="Q120" s="25">
        <f t="shared" si="63"/>
        <v>0</v>
      </c>
      <c r="R120" s="25">
        <f t="shared" si="56"/>
        <v>0</v>
      </c>
      <c r="S120" s="25">
        <f t="shared" si="57"/>
        <v>0</v>
      </c>
      <c r="T120" s="12" t="s">
        <v>7</v>
      </c>
      <c r="U120" s="12" t="s">
        <v>35</v>
      </c>
      <c r="V120" s="25">
        <f t="shared" si="58"/>
        <v>0</v>
      </c>
      <c r="W120" s="10">
        <f t="shared" si="64"/>
        <v>0</v>
      </c>
      <c r="Y120" s="1">
        <f t="shared" si="59"/>
        <v>1</v>
      </c>
    </row>
    <row r="121" spans="1:25" ht="15.75" outlineLevel="1" thickBot="1" x14ac:dyDescent="0.3">
      <c r="A121" s="16" t="s">
        <v>5</v>
      </c>
      <c r="B121" s="16"/>
      <c r="C121" s="30">
        <v>0</v>
      </c>
      <c r="D121" s="17">
        <v>10</v>
      </c>
      <c r="E121" s="11">
        <f t="shared" si="60"/>
        <v>10</v>
      </c>
      <c r="F121" s="11">
        <f t="shared" si="52"/>
        <v>10</v>
      </c>
      <c r="G121" s="2">
        <f>VLOOKUP('930-4'!D121,Table1[],2,0)</f>
        <v>10.75</v>
      </c>
      <c r="H121" s="19">
        <f t="shared" si="61"/>
        <v>85.737700000000004</v>
      </c>
      <c r="I121" s="18">
        <f t="shared" si="62"/>
        <v>86</v>
      </c>
      <c r="J121" s="12">
        <v>40</v>
      </c>
      <c r="K121" s="12">
        <v>75</v>
      </c>
      <c r="L121" s="35"/>
      <c r="M121" s="14">
        <f t="shared" si="53"/>
        <v>0</v>
      </c>
      <c r="N121" s="15">
        <f t="shared" si="54"/>
        <v>0</v>
      </c>
      <c r="O121" s="15" t="str">
        <f t="shared" si="55"/>
        <v>NO</v>
      </c>
      <c r="P121" s="25" t="b">
        <f>IF(L121&lt;&gt;0, IF(L121="Gap", O121, IF(L123&lt;&gt;0,  IF(O121="NO", "NO", "YES"), IF(L124&lt;&gt;0, IF(AND(O121="NO", O123="NO"), "NO", "YES"), IF(L125&lt;&gt;0, IF(AND(O121="NO", O123="NO", O124="NO"), "NO", "YES"), IF(AND(O121="NO", O123="NO", O124="NO", O125="NO"), "NO", "YES"))))))</f>
        <v>0</v>
      </c>
      <c r="Q121" s="25">
        <f>IF(L121=0,0,IF(L122&lt;&gt;0,N121,IF(L123&lt;&gt;0,N121+N122,IF(L124&lt;&gt;0,N121+N122+N123,IF(L125&lt;&gt;0,N121+N122+N123+N124,IF(#REF!&lt;&gt;0,N121+N122+N123+N124+N125,N121+N122+N123+N124+N125+#REF!))))))</f>
        <v>0</v>
      </c>
      <c r="R121" s="25">
        <f t="shared" si="56"/>
        <v>0</v>
      </c>
      <c r="S121" s="25">
        <f>IF(L121=0, 0, IF(L122&lt;&gt;0, R121, IF(L123&lt;&gt;0, R121+R122, IF(L124&lt;&gt;0, R121+R122+R123, IF(L125&lt;&gt;0, R121+R122+R123+R124, IF(#REF!&lt;&gt;0, R121+R122+R123+R124+R125, R121+R122+R123+R124+R125+#REF!))))))</f>
        <v>0</v>
      </c>
      <c r="T121" s="12" t="s">
        <v>7</v>
      </c>
      <c r="U121" s="12" t="s">
        <v>35</v>
      </c>
      <c r="V121" s="25">
        <f t="shared" si="58"/>
        <v>0</v>
      </c>
      <c r="W121" s="10">
        <f t="shared" si="64"/>
        <v>0</v>
      </c>
      <c r="Y121" s="1">
        <f t="shared" si="59"/>
        <v>1</v>
      </c>
    </row>
    <row r="122" spans="1:25" ht="15.75" outlineLevel="1" thickBot="1" x14ac:dyDescent="0.3">
      <c r="A122" s="16"/>
      <c r="B122" s="16"/>
      <c r="C122" s="30">
        <v>0</v>
      </c>
      <c r="D122" s="17">
        <v>10</v>
      </c>
      <c r="E122" s="11">
        <f t="shared" si="60"/>
        <v>10</v>
      </c>
      <c r="F122" s="11">
        <f t="shared" si="52"/>
        <v>0</v>
      </c>
      <c r="G122" s="2">
        <f>VLOOKUP('930-4'!D122,Table1[],2,0)</f>
        <v>10.75</v>
      </c>
      <c r="H122" s="19">
        <f t="shared" si="61"/>
        <v>85.737700000000004</v>
      </c>
      <c r="I122" s="18">
        <f t="shared" si="62"/>
        <v>86</v>
      </c>
      <c r="J122" s="12">
        <v>40</v>
      </c>
      <c r="K122" s="12">
        <v>45</v>
      </c>
      <c r="L122" s="16" t="s">
        <v>13</v>
      </c>
      <c r="M122" s="14">
        <f t="shared" si="53"/>
        <v>0</v>
      </c>
      <c r="N122" s="15">
        <f t="shared" si="54"/>
        <v>0</v>
      </c>
      <c r="O122" s="15" t="str">
        <f t="shared" si="55"/>
        <v>NO</v>
      </c>
      <c r="P122" s="25" t="str">
        <f>IF(L122&lt;&gt;0, IF(L122="Gap", O122, IF(L123&lt;&gt;0,  IF(O122="NO", "NO", "YES"), IF(L124&lt;&gt;0, IF(AND(O122="NO", O123="NO"), "NO", "YES"), IF(L125&lt;&gt;0, IF(AND(O122="NO", O123="NO", O124="NO"), "NO", "YES"), IF(AND(O122="NO", O123="NO", O124="NO", O125="NO"), "NO", "YES"))))))</f>
        <v>NO</v>
      </c>
      <c r="Q122" s="25">
        <f>IF(L122=0,0,IF(L123&lt;&gt;0,N122,IF(L124&lt;&gt;0,N122+N123,IF(L125&lt;&gt;0,N122+N123+N124,IF(#REF!&lt;&gt;0,N122+N123+N124+N125,IF(#REF!&lt;&gt;0,N122+N123+N124+N125+#REF!,N122+N123+N124+N125+#REF!+#REF!))))))</f>
        <v>0</v>
      </c>
      <c r="R122" s="25">
        <f t="shared" si="56"/>
        <v>0</v>
      </c>
      <c r="S122" s="25">
        <f>IF(L122=0, 0, IF(L123&lt;&gt;0, R122, IF(L124&lt;&gt;0, R122+R123, IF(L125&lt;&gt;0, R122+R123+R124, IF(#REF!&lt;&gt;0, R122+R123+R124+R125, IF(#REF!&lt;&gt;0, R122+R123+R124+R125+#REF!, R122+R123+R124+R125+#REF!+#REF!))))))</f>
        <v>0</v>
      </c>
      <c r="T122" s="12" t="s">
        <v>7</v>
      </c>
      <c r="U122" s="12" t="s">
        <v>35</v>
      </c>
      <c r="V122" s="25">
        <f t="shared" si="58"/>
        <v>0</v>
      </c>
      <c r="W122" s="10">
        <f t="shared" si="64"/>
        <v>0</v>
      </c>
      <c r="Y122" s="1">
        <f>IF(L122="FULL",IF(L123=0,IF(L124=0,IF(L125=0,IF(#REF!=0,5,4),3),2),1),IF(L122=0,Y121,1))</f>
        <v>1</v>
      </c>
    </row>
    <row r="123" spans="1:25" outlineLevel="1" x14ac:dyDescent="0.25">
      <c r="A123" s="16"/>
      <c r="B123" s="16"/>
      <c r="C123" s="30">
        <v>0</v>
      </c>
      <c r="D123" s="17">
        <v>2</v>
      </c>
      <c r="E123" s="11">
        <f t="shared" si="60"/>
        <v>2</v>
      </c>
      <c r="F123" s="11">
        <f t="shared" si="52"/>
        <v>0</v>
      </c>
      <c r="G123" s="2">
        <f>VLOOKUP('930-4'!D123,Table1[],2,0)</f>
        <v>2.375</v>
      </c>
      <c r="H123" s="19">
        <f t="shared" si="61"/>
        <v>18.942050000000002</v>
      </c>
      <c r="I123" s="18">
        <f t="shared" si="62"/>
        <v>19</v>
      </c>
      <c r="J123" s="12">
        <v>40</v>
      </c>
      <c r="K123" s="12">
        <v>45</v>
      </c>
      <c r="L123" s="16" t="s">
        <v>13</v>
      </c>
      <c r="M123" s="14">
        <f t="shared" si="53"/>
        <v>0</v>
      </c>
      <c r="N123" s="15">
        <f t="shared" si="54"/>
        <v>0</v>
      </c>
      <c r="O123" s="15" t="str">
        <f t="shared" si="55"/>
        <v>NO</v>
      </c>
      <c r="P123" s="25" t="str">
        <f>IF(L123&lt;&gt;0, IF(L123="Gap", O123, IF(L124&lt;&gt;0,  IF(O123="NO", "NO", "YES"), IF(L125&lt;&gt;0, IF(AND(O123="NO", O124="NO"), "NO", "YES"), IF(#REF!&lt;&gt;0, IF(AND(O123="NO", O124="NO", O125="NO"), "NO", "YES"), IF(AND(O123="NO", O124="NO", O125="NO",#REF!= "NO"), "NO", "YES"))))))</f>
        <v>NO</v>
      </c>
      <c r="Q123" s="25">
        <f>IF(L123=0,0,IF(L124&lt;&gt;0,N123,IF(L125&lt;&gt;0,N123+N124,IF(#REF!&lt;&gt;0,N123+N124+N125,IF(#REF!&lt;&gt;0,N123+N124+N125+#REF!,IF(#REF!&lt;&gt;0,N123+N124+N125+#REF!+#REF!,N123+N124+N125+#REF!+#REF!+#REF!))))))</f>
        <v>0</v>
      </c>
      <c r="R123" s="25">
        <f t="shared" si="56"/>
        <v>0</v>
      </c>
      <c r="S123" s="25">
        <f>IF(L123=0, 0, IF(L124&lt;&gt;0, R123, IF(L125&lt;&gt;0, R123+R124, IF(#REF!&lt;&gt;0, R123+R124+R125, IF(#REF!&lt;&gt;0, R123+R124+R125+#REF!, IF(#REF!&lt;&gt;0, R123+R124+R125+#REF!+#REF!, R123+R124+R125+#REF!+#REF!+#REF!))))))</f>
        <v>0</v>
      </c>
      <c r="T123" s="12" t="s">
        <v>7</v>
      </c>
      <c r="U123" s="12" t="s">
        <v>35</v>
      </c>
      <c r="V123" s="25">
        <f t="shared" si="58"/>
        <v>0</v>
      </c>
      <c r="W123" s="10">
        <f t="shared" si="64"/>
        <v>0</v>
      </c>
      <c r="Y123" s="1">
        <f>IF(L123="FULL",IF(L124=0,IF(L125=0,IF(#REF!=0,IF(#REF!=0,5,4),3),2),1),IF(L123=0,Y122,1))</f>
        <v>1</v>
      </c>
    </row>
    <row r="124" spans="1:25" ht="15" customHeight="1" outlineLevel="1" x14ac:dyDescent="0.25">
      <c r="A124" s="29" t="s">
        <v>20</v>
      </c>
      <c r="B124" s="29" t="s">
        <v>20</v>
      </c>
      <c r="C124" s="29" t="s">
        <v>20</v>
      </c>
      <c r="D124" s="29" t="s">
        <v>20</v>
      </c>
      <c r="E124" s="29" t="s">
        <v>20</v>
      </c>
      <c r="F124" s="29"/>
      <c r="G124" s="29" t="s">
        <v>20</v>
      </c>
      <c r="H124" s="29" t="s">
        <v>20</v>
      </c>
      <c r="I124" s="29" t="s">
        <v>20</v>
      </c>
      <c r="J124" s="29" t="s">
        <v>20</v>
      </c>
      <c r="K124" s="29" t="s">
        <v>20</v>
      </c>
      <c r="L124" s="29" t="s">
        <v>20</v>
      </c>
      <c r="M124" s="29" t="s">
        <v>20</v>
      </c>
      <c r="N124" s="29" t="s">
        <v>20</v>
      </c>
      <c r="O124" s="29" t="s">
        <v>20</v>
      </c>
      <c r="P124" s="29" t="s">
        <v>20</v>
      </c>
      <c r="Q124" s="29" t="s">
        <v>20</v>
      </c>
      <c r="R124" s="29" t="s">
        <v>20</v>
      </c>
      <c r="S124" s="29" t="s">
        <v>20</v>
      </c>
      <c r="T124" s="29" t="s">
        <v>20</v>
      </c>
      <c r="U124" s="29" t="s">
        <v>20</v>
      </c>
      <c r="V124" s="29" t="s">
        <v>20</v>
      </c>
      <c r="W124" s="29" t="s">
        <v>20</v>
      </c>
      <c r="Y124" s="1">
        <f>IF(L124="FULL",IF(L125=0,IF(#REF!=0,IF(#REF!=0,IF(#REF!=0,5,4),3),2),1),IF(L124=0,Y123,1))</f>
        <v>1</v>
      </c>
    </row>
    <row r="125" spans="1:25" ht="15.75" thickBot="1" x14ac:dyDescent="0.3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21"/>
      <c r="N125" s="21"/>
      <c r="O125" s="21"/>
      <c r="P125" s="21"/>
      <c r="Q125" s="31">
        <f>SUM(Q108:Q123)</f>
        <v>32</v>
      </c>
      <c r="R125" s="31"/>
      <c r="S125" s="31">
        <f>SUM(R108:R123)</f>
        <v>32</v>
      </c>
      <c r="T125" s="31"/>
      <c r="U125" s="20"/>
      <c r="V125" s="21">
        <f>IF(COUNTIF(V108:V123,  "Segment Error")=0, IF(AND(SUM(V108:V123)&lt;50, COUNTIF(P108:P123, "YES")=0), 50, SUM(V108:V123)), "Segment Error")</f>
        <v>50</v>
      </c>
      <c r="W125" s="22">
        <f>V125*2400000</f>
        <v>120000000</v>
      </c>
      <c r="Y125" s="1">
        <f>IF(L125="FULL",IF(#REF!=0,IF(#REF!=0,IF(#REF!=0,IF(#REF!=0,5,4),3),2),1),IF(L125=0,Y124,1))</f>
        <v>1</v>
      </c>
    </row>
    <row r="126" spans="1:25" ht="27" customHeight="1" x14ac:dyDescent="0.25">
      <c r="A126" s="44" t="s">
        <v>43</v>
      </c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Y126" s="27" t="s">
        <v>17</v>
      </c>
    </row>
    <row r="127" spans="1:25" ht="15" hidden="1" customHeight="1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Y127" s="1">
        <v>1</v>
      </c>
    </row>
    <row r="128" spans="1:25" ht="15" hidden="1" customHeight="1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Y128" s="1">
        <v>1</v>
      </c>
    </row>
    <row r="129" spans="1:25" ht="15" hidden="1" customHeight="1" thickBot="1" x14ac:dyDescent="0.3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Y129" s="1">
        <v>1</v>
      </c>
    </row>
    <row r="130" spans="1:25" ht="15.75" thickBot="1" x14ac:dyDescent="0.3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Y130" s="1">
        <v>1</v>
      </c>
    </row>
    <row r="131" spans="1:25" ht="30" customHeight="1" x14ac:dyDescent="0.25">
      <c r="A131" s="37" t="s">
        <v>0</v>
      </c>
      <c r="B131" s="37" t="s">
        <v>8</v>
      </c>
      <c r="C131" s="39" t="s">
        <v>29</v>
      </c>
      <c r="D131" s="37" t="s">
        <v>28</v>
      </c>
      <c r="E131" s="37" t="s">
        <v>28</v>
      </c>
      <c r="F131" s="39" t="s">
        <v>33</v>
      </c>
      <c r="G131" s="39" t="s">
        <v>16</v>
      </c>
      <c r="H131" s="37" t="s">
        <v>9</v>
      </c>
      <c r="I131" s="39" t="s">
        <v>12</v>
      </c>
      <c r="J131" s="41" t="s">
        <v>1</v>
      </c>
      <c r="K131" s="41"/>
      <c r="L131" s="41"/>
      <c r="M131" s="37" t="s">
        <v>14</v>
      </c>
      <c r="N131" s="39" t="s">
        <v>18</v>
      </c>
      <c r="O131" s="39" t="s">
        <v>32</v>
      </c>
      <c r="P131" s="39" t="s">
        <v>21</v>
      </c>
      <c r="Q131" s="39" t="s">
        <v>30</v>
      </c>
      <c r="R131" s="39" t="s">
        <v>19</v>
      </c>
      <c r="S131" s="39" t="s">
        <v>25</v>
      </c>
      <c r="T131" s="41" t="s">
        <v>3</v>
      </c>
      <c r="U131" s="37" t="s">
        <v>4</v>
      </c>
      <c r="V131" s="37" t="s">
        <v>6</v>
      </c>
      <c r="W131" s="42" t="s">
        <v>15</v>
      </c>
      <c r="Y131" s="1">
        <v>1</v>
      </c>
    </row>
    <row r="132" spans="1:25" ht="30" customHeight="1" thickBot="1" x14ac:dyDescent="0.3">
      <c r="A132" s="38"/>
      <c r="B132" s="38"/>
      <c r="C132" s="40"/>
      <c r="D132" s="38"/>
      <c r="E132" s="38"/>
      <c r="F132" s="40"/>
      <c r="G132" s="40"/>
      <c r="H132" s="38"/>
      <c r="I132" s="40"/>
      <c r="J132" s="26" t="s">
        <v>26</v>
      </c>
      <c r="K132" s="26" t="s">
        <v>27</v>
      </c>
      <c r="L132" s="2" t="s">
        <v>2</v>
      </c>
      <c r="M132" s="38"/>
      <c r="N132" s="40"/>
      <c r="O132" s="40"/>
      <c r="P132" s="40"/>
      <c r="Q132" s="40"/>
      <c r="R132" s="40"/>
      <c r="S132" s="40"/>
      <c r="T132" s="46"/>
      <c r="U132" s="38"/>
      <c r="V132" s="38"/>
      <c r="W132" s="43"/>
      <c r="Y132" s="1">
        <v>1</v>
      </c>
    </row>
    <row r="133" spans="1:25" ht="15.75" outlineLevel="1" thickBot="1" x14ac:dyDescent="0.3">
      <c r="A133" s="12" t="s">
        <v>5</v>
      </c>
      <c r="B133" s="16"/>
      <c r="C133" s="30">
        <v>2</v>
      </c>
      <c r="D133" s="11">
        <v>8</v>
      </c>
      <c r="E133" s="11">
        <f>IF(D133="4.5 C", 4.5, IF(D133="4.8 C", 4.8, D133))</f>
        <v>8</v>
      </c>
      <c r="F133" s="11">
        <f t="shared" ref="F133:F148" si="65">IF(L133="Full", IF(Y133=1, E133*C133, E133), IF(L133="Gap", C133, E133))</f>
        <v>16</v>
      </c>
      <c r="G133" s="2">
        <f>VLOOKUP('930-4'!D133,Table1[],2,0)</f>
        <v>8.625</v>
      </c>
      <c r="H133" s="13">
        <f>G133*3.14*2.54</f>
        <v>68.789550000000006</v>
      </c>
      <c r="I133" s="2">
        <f>ROUNDUP(H133, 0)</f>
        <v>69</v>
      </c>
      <c r="J133" s="12">
        <v>40</v>
      </c>
      <c r="K133" s="12">
        <v>50</v>
      </c>
      <c r="L133" s="16" t="s">
        <v>13</v>
      </c>
      <c r="M133" s="14">
        <f t="shared" ref="M133:M148" si="66">IF(L133="Gap",C133, IF(E133&lt;=3, 3*C133, IF(L133="Full", C133*E133/Y133, IF(J133=K133,"Error", IF(K133&lt;J133, C133*(I133+K133-J133)*H133*E133/(3.14*2.54*I133*G133), C133*(K133-J133)*H133*E133/(3.14*2.54*I133*G133))))))</f>
        <v>16</v>
      </c>
      <c r="N133" s="15">
        <f t="shared" ref="N133:N148" si="67">IF(L133=0,IF(L132=0,IF(L131=0,IF(L130=0,IF(L129=0,IF(L128=0,IF(L127="Segment",M133,0),IF(L128="Segment",M133,0)),IF(L129="Segment",M133,0)),IF(L130="Segment",M133,0)),IF(L131="Segment",M133,0)),IF(L132="Segment",M133,0)),M133)</f>
        <v>16</v>
      </c>
      <c r="O133" s="15" t="str">
        <f t="shared" ref="O133:O148" si="68">IF(OR(T133="REJ",T133="NOT DONE-CONTRACTOR"), "YES", "NO")</f>
        <v>NO</v>
      </c>
      <c r="P133" s="25" t="str">
        <f>IF(L133&lt;&gt;0, IF(L133="Gap", O133, IF(L134&lt;&gt;0,  IF(O133="NO", "NO", "YES"), IF(L135&lt;&gt;0, IF(AND(O133="NO", O134="NO"), "NO", "YES"), IF(L136&lt;&gt;0, IF(AND(O133="NO", O134="NO", O135="NO"), "NO", "YES"), IF(AND(O133="NO", O134="NO", O135="NO", O136="NO"), "NO", "YES"))))))</f>
        <v>NO</v>
      </c>
      <c r="Q133" s="25">
        <f>IF(L133=0,0,IF(L134&lt;&gt;0,N133,IF(L135&lt;&gt;0,N133+N134,IF(L136&lt;&gt;0,N133+N134+N135,IF(L137&lt;&gt;0,N133+N134+N135+N136,IF(L138&lt;&gt;0,N133+N134+N135+N136+N137,N133+N134+N135+N136+N137+N138))))))</f>
        <v>16</v>
      </c>
      <c r="R133" s="25">
        <f t="shared" ref="R133:R148" si="69">IF(OR(T133="ACC", T133="REP", T133="RS", T133="RT"), N133, 0)</f>
        <v>16</v>
      </c>
      <c r="S133" s="25">
        <f t="shared" ref="S133:S145" si="70">IF(L133=0, 0, IF(L134&lt;&gt;0, R133, IF(L135&lt;&gt;0, R133+R134, IF(L136&lt;&gt;0, R133+R134+R135, IF(L137&lt;&gt;0, R133+R134+R135+R136, IF(L138&lt;&gt;0, R133+R134+R135+R136+R137, R133+R134+R135+R136+R137+R138))))))</f>
        <v>16</v>
      </c>
      <c r="T133" s="12" t="s">
        <v>7</v>
      </c>
      <c r="U133" s="12" t="s">
        <v>35</v>
      </c>
      <c r="V133" s="25">
        <f t="shared" ref="V133:V148" si="71">IF(OR(S133=0, P133=FALSE), 0, IF(AND(Q133&gt;3*C133, Q133&gt;F133), "Segment Error", IF(OR(P133="YES", L133="Gap"), S133, IF(E133&lt;3, S133, IF(S133&gt;F133/2, F133, F133/2)))))</f>
        <v>16</v>
      </c>
      <c r="W133" s="10">
        <f>V133*2400000</f>
        <v>38400000</v>
      </c>
      <c r="Y133" s="1">
        <f t="shared" ref="Y133:Y146" si="72">IF(L133="FULL",IF(L134=0,IF(L135=0,IF(L136=0,IF(L137=0,5,4),3),2),1),IF(L133=0,Y132,1))</f>
        <v>1</v>
      </c>
    </row>
    <row r="134" spans="1:25" ht="15.75" outlineLevel="1" thickBot="1" x14ac:dyDescent="0.3">
      <c r="A134" s="12" t="s">
        <v>5</v>
      </c>
      <c r="B134" s="16"/>
      <c r="C134" s="30">
        <v>1</v>
      </c>
      <c r="D134" s="11">
        <v>3</v>
      </c>
      <c r="E134" s="11">
        <f t="shared" ref="E134:E148" si="73">IF(D134="4.5 C", 4.5, IF(D134="4.8 C", 4.8, D134))</f>
        <v>3</v>
      </c>
      <c r="F134" s="11">
        <f t="shared" si="65"/>
        <v>3</v>
      </c>
      <c r="G134" s="2">
        <f>VLOOKUP('930-4'!D134,Table1[],2,0)</f>
        <v>3.5</v>
      </c>
      <c r="H134" s="13">
        <f t="shared" ref="H134:H148" si="74">G134*3.14*2.54</f>
        <v>27.9146</v>
      </c>
      <c r="I134" s="2">
        <f t="shared" ref="I134:I148" si="75">ROUNDUP(H134, 0)</f>
        <v>28</v>
      </c>
      <c r="J134" s="12">
        <v>4</v>
      </c>
      <c r="K134" s="12">
        <v>13</v>
      </c>
      <c r="L134" s="16" t="s">
        <v>13</v>
      </c>
      <c r="M134" s="14">
        <f t="shared" si="66"/>
        <v>3</v>
      </c>
      <c r="N134" s="15">
        <f t="shared" si="67"/>
        <v>3</v>
      </c>
      <c r="O134" s="15" t="str">
        <f t="shared" si="68"/>
        <v>NO</v>
      </c>
      <c r="P134" s="25" t="str">
        <f>IF(L134&lt;&gt;0, IF(L134="Gap", O134, IF(L135&lt;&gt;0,  IF(O134="NO", "NO", "YES"), IF(L136&lt;&gt;0, IF(AND(O134="NO", O135="NO"), "NO", "YES"), IF(L137&lt;&gt;0, IF(AND(O134="NO", O135="NO", O136="NO"), "NO", "YES"), IF(AND(O134="NO", O135="NO", O136="NO", O137="NO"), "NO", "YES"))))))</f>
        <v>NO</v>
      </c>
      <c r="Q134" s="25">
        <f t="shared" ref="Q134:Q145" si="76">IF(L134=0,0,IF(L135&lt;&gt;0,N134,IF(L136&lt;&gt;0,N134+N135,IF(L137&lt;&gt;0,N134+N135+N136,IF(L138&lt;&gt;0,N134+N135+N136+N137,IF(L139&lt;&gt;0,N134+N135+N136+N137+N138,N134+N135+N136+N137+N138+N139))))))</f>
        <v>3</v>
      </c>
      <c r="R134" s="25">
        <f t="shared" si="69"/>
        <v>3</v>
      </c>
      <c r="S134" s="25">
        <f t="shared" si="70"/>
        <v>3</v>
      </c>
      <c r="T134" s="12" t="s">
        <v>7</v>
      </c>
      <c r="U134" s="12" t="s">
        <v>35</v>
      </c>
      <c r="V134" s="25">
        <f t="shared" si="71"/>
        <v>3</v>
      </c>
      <c r="W134" s="10">
        <f t="shared" ref="W134:W148" si="77">V134*2400000</f>
        <v>7200000</v>
      </c>
      <c r="Y134" s="1">
        <f t="shared" si="72"/>
        <v>1</v>
      </c>
    </row>
    <row r="135" spans="1:25" ht="15.75" outlineLevel="1" thickBot="1" x14ac:dyDescent="0.3">
      <c r="A135" s="12" t="s">
        <v>5</v>
      </c>
      <c r="B135" s="16"/>
      <c r="C135" s="30">
        <v>0</v>
      </c>
      <c r="D135" s="11">
        <v>6</v>
      </c>
      <c r="E135" s="11">
        <f t="shared" si="73"/>
        <v>6</v>
      </c>
      <c r="F135" s="11">
        <f t="shared" si="65"/>
        <v>0</v>
      </c>
      <c r="G135" s="2">
        <f>VLOOKUP('930-4'!D135,Table1[],2,0)</f>
        <v>6.625</v>
      </c>
      <c r="H135" s="13">
        <f t="shared" si="74"/>
        <v>52.838350000000005</v>
      </c>
      <c r="I135" s="2">
        <f t="shared" si="75"/>
        <v>53</v>
      </c>
      <c r="J135" s="12">
        <v>4</v>
      </c>
      <c r="K135" s="12">
        <v>13</v>
      </c>
      <c r="L135" s="16" t="s">
        <v>13</v>
      </c>
      <c r="M135" s="14">
        <f t="shared" si="66"/>
        <v>0</v>
      </c>
      <c r="N135" s="15">
        <f t="shared" si="67"/>
        <v>0</v>
      </c>
      <c r="O135" s="15" t="str">
        <f t="shared" si="68"/>
        <v>NO</v>
      </c>
      <c r="P135" s="25" t="str">
        <f>IF(L135&lt;&gt;0, IF(L135="Gap", O135, IF(L136&lt;&gt;0,  IF(O135="NO", "NO", "YES"), IF(L137&lt;&gt;0, IF(AND(O135="NO", O136="NO"), "NO", "YES"), IF(L143&lt;&gt;0, IF(AND(O135="NO", O136="NO", O137="NO"), "NO", "YES"), IF(AND(O135="NO", O136="NO", O137="NO", O143="NO"), "NO", "YES"))))))</f>
        <v>NO</v>
      </c>
      <c r="Q135" s="25">
        <f t="shared" si="76"/>
        <v>0</v>
      </c>
      <c r="R135" s="25">
        <f t="shared" si="69"/>
        <v>0</v>
      </c>
      <c r="S135" s="25">
        <f t="shared" si="70"/>
        <v>0</v>
      </c>
      <c r="T135" s="12" t="s">
        <v>7</v>
      </c>
      <c r="U135" s="12" t="s">
        <v>35</v>
      </c>
      <c r="V135" s="25">
        <f t="shared" si="71"/>
        <v>0</v>
      </c>
      <c r="W135" s="10">
        <f t="shared" si="77"/>
        <v>0</v>
      </c>
      <c r="X135" s="33"/>
      <c r="Y135" s="1">
        <f t="shared" si="72"/>
        <v>1</v>
      </c>
    </row>
    <row r="136" spans="1:25" ht="15.75" outlineLevel="1" thickBot="1" x14ac:dyDescent="0.3">
      <c r="A136" s="12" t="s">
        <v>5</v>
      </c>
      <c r="B136" s="16"/>
      <c r="C136" s="30">
        <v>0</v>
      </c>
      <c r="D136" s="11">
        <v>3</v>
      </c>
      <c r="E136" s="11">
        <f t="shared" si="73"/>
        <v>3</v>
      </c>
      <c r="F136" s="11">
        <f t="shared" si="65"/>
        <v>0</v>
      </c>
      <c r="G136" s="2">
        <f>VLOOKUP('930-4'!D136,Table1[],2,0)</f>
        <v>3.5</v>
      </c>
      <c r="H136" s="13">
        <f t="shared" si="74"/>
        <v>27.9146</v>
      </c>
      <c r="I136" s="2">
        <f t="shared" si="75"/>
        <v>28</v>
      </c>
      <c r="J136" s="12">
        <v>20</v>
      </c>
      <c r="K136" s="12">
        <v>40</v>
      </c>
      <c r="L136" s="16" t="s">
        <v>13</v>
      </c>
      <c r="M136" s="14">
        <f t="shared" si="66"/>
        <v>0</v>
      </c>
      <c r="N136" s="15">
        <f t="shared" si="67"/>
        <v>0</v>
      </c>
      <c r="O136" s="15" t="str">
        <f t="shared" si="68"/>
        <v>NO</v>
      </c>
      <c r="P136" s="25" t="str">
        <f>IF(L136&lt;&gt;0, IF(L136="Gap", O136, IF(L137&lt;&gt;0,  IF(O136="NO", "NO", "YES"), IF(L143&lt;&gt;0, IF(AND(O136="NO", O137="NO"), "NO", "YES"), IF(L144&lt;&gt;0, IF(AND(O136="NO", O137="NO", O143="NO"), "NO", "YES"), IF(AND(O136="NO", O137="NO", O143="NO", O144="NO"), "NO", "YES"))))))</f>
        <v>NO</v>
      </c>
      <c r="Q136" s="25">
        <f t="shared" si="76"/>
        <v>0</v>
      </c>
      <c r="R136" s="25">
        <f t="shared" si="69"/>
        <v>0</v>
      </c>
      <c r="S136" s="25">
        <f t="shared" si="70"/>
        <v>0</v>
      </c>
      <c r="T136" s="12" t="s">
        <v>7</v>
      </c>
      <c r="U136" s="12" t="s">
        <v>35</v>
      </c>
      <c r="V136" s="25">
        <f t="shared" si="71"/>
        <v>0</v>
      </c>
      <c r="W136" s="10">
        <f t="shared" si="77"/>
        <v>0</v>
      </c>
      <c r="Y136" s="1">
        <f t="shared" si="72"/>
        <v>1</v>
      </c>
    </row>
    <row r="137" spans="1:25" ht="15.75" outlineLevel="1" thickBot="1" x14ac:dyDescent="0.3">
      <c r="A137" s="12" t="s">
        <v>5</v>
      </c>
      <c r="B137" s="16"/>
      <c r="C137" s="30">
        <v>0</v>
      </c>
      <c r="D137" s="11">
        <v>20</v>
      </c>
      <c r="E137" s="11">
        <f t="shared" si="73"/>
        <v>20</v>
      </c>
      <c r="F137" s="11">
        <f t="shared" si="65"/>
        <v>0</v>
      </c>
      <c r="G137" s="2">
        <f>VLOOKUP('930-4'!D137,Table1[],2,0)</f>
        <v>20</v>
      </c>
      <c r="H137" s="13">
        <f t="shared" si="74"/>
        <v>159.512</v>
      </c>
      <c r="I137" s="2">
        <f t="shared" si="75"/>
        <v>160</v>
      </c>
      <c r="J137" s="12">
        <v>65</v>
      </c>
      <c r="K137" s="12">
        <v>85</v>
      </c>
      <c r="L137" s="16" t="s">
        <v>13</v>
      </c>
      <c r="M137" s="14">
        <f t="shared" si="66"/>
        <v>0</v>
      </c>
      <c r="N137" s="15">
        <f t="shared" si="67"/>
        <v>0</v>
      </c>
      <c r="O137" s="15" t="str">
        <f t="shared" si="68"/>
        <v>NO</v>
      </c>
      <c r="P137" s="25" t="str">
        <f>IF(L137&lt;&gt;0, IF(L137="Gap", O137, IF(L143&lt;&gt;0,  IF(O137="NO", "NO", "YES"), IF(L144&lt;&gt;0, IF(AND(O137="NO", O143="NO"), "NO", "YES"), IF(L145&lt;&gt;0, IF(AND(O137="NO", O143="NO", O144="NO"), "NO", "YES"), IF(AND(O137="NO", O143="NO", O144="NO", O145="NO"), "NO", "YES"))))))</f>
        <v>NO</v>
      </c>
      <c r="Q137" s="25">
        <f t="shared" si="76"/>
        <v>0</v>
      </c>
      <c r="R137" s="25">
        <f t="shared" si="69"/>
        <v>0</v>
      </c>
      <c r="S137" s="25">
        <f t="shared" si="70"/>
        <v>0</v>
      </c>
      <c r="T137" s="12" t="s">
        <v>7</v>
      </c>
      <c r="U137" s="12" t="s">
        <v>35</v>
      </c>
      <c r="V137" s="25">
        <f t="shared" si="71"/>
        <v>0</v>
      </c>
      <c r="W137" s="10">
        <f t="shared" si="77"/>
        <v>0</v>
      </c>
      <c r="Y137" s="1">
        <f t="shared" si="72"/>
        <v>1</v>
      </c>
    </row>
    <row r="138" spans="1:25" ht="15.75" outlineLevel="1" thickBot="1" x14ac:dyDescent="0.3">
      <c r="A138" s="12" t="s">
        <v>5</v>
      </c>
      <c r="B138" s="32"/>
      <c r="C138" s="30">
        <v>0</v>
      </c>
      <c r="D138" s="11">
        <v>10</v>
      </c>
      <c r="E138" s="11">
        <f t="shared" si="73"/>
        <v>10</v>
      </c>
      <c r="F138" s="11">
        <f t="shared" si="65"/>
        <v>0</v>
      </c>
      <c r="G138" s="2">
        <f>VLOOKUP('930-4'!D138,Table1[],2,0)</f>
        <v>10.75</v>
      </c>
      <c r="H138" s="13">
        <f t="shared" si="74"/>
        <v>85.737700000000004</v>
      </c>
      <c r="I138" s="2">
        <f t="shared" si="75"/>
        <v>86</v>
      </c>
      <c r="J138" s="12">
        <v>40</v>
      </c>
      <c r="K138" s="12">
        <v>125</v>
      </c>
      <c r="L138" s="16" t="s">
        <v>13</v>
      </c>
      <c r="M138" s="14">
        <f t="shared" si="66"/>
        <v>0</v>
      </c>
      <c r="N138" s="15">
        <f t="shared" si="67"/>
        <v>0</v>
      </c>
      <c r="O138" s="15" t="str">
        <f t="shared" si="68"/>
        <v>NO</v>
      </c>
      <c r="P138" s="25" t="str">
        <f>IF(L138&lt;&gt;0, IF(L138="Gap", O138, IF(L139&lt;&gt;0,  IF(O138="NO", "NO", "YES"), IF(L140&lt;&gt;0, IF(AND(O138="NO", O139="NO"), "NO", "YES"), IF(L141&lt;&gt;0, IF(AND(O138="NO", O139="NO", O140="NO"), "NO", "YES"), IF(AND(O138="NO", O139="NO", O140="NO", O141="NO"), "NO", "YES"))))))</f>
        <v>NO</v>
      </c>
      <c r="Q138" s="25">
        <f t="shared" si="76"/>
        <v>0</v>
      </c>
      <c r="R138" s="25">
        <f t="shared" si="69"/>
        <v>0</v>
      </c>
      <c r="S138" s="25">
        <f t="shared" si="70"/>
        <v>0</v>
      </c>
      <c r="T138" s="12" t="s">
        <v>7</v>
      </c>
      <c r="U138" s="12" t="s">
        <v>35</v>
      </c>
      <c r="V138" s="25">
        <f t="shared" si="71"/>
        <v>0</v>
      </c>
      <c r="W138" s="10">
        <f t="shared" si="77"/>
        <v>0</v>
      </c>
      <c r="Y138" s="1">
        <f t="shared" si="72"/>
        <v>1</v>
      </c>
    </row>
    <row r="139" spans="1:25" ht="15.75" outlineLevel="1" thickBot="1" x14ac:dyDescent="0.3">
      <c r="A139" s="12" t="s">
        <v>5</v>
      </c>
      <c r="B139" s="16"/>
      <c r="C139" s="30">
        <v>0</v>
      </c>
      <c r="D139" s="11">
        <v>6</v>
      </c>
      <c r="E139" s="11">
        <f t="shared" si="73"/>
        <v>6</v>
      </c>
      <c r="F139" s="11">
        <f t="shared" si="65"/>
        <v>6</v>
      </c>
      <c r="G139" s="2">
        <f>VLOOKUP('930-4'!D139,Table1[],2,0)</f>
        <v>6.625</v>
      </c>
      <c r="H139" s="13">
        <f t="shared" si="74"/>
        <v>52.838350000000005</v>
      </c>
      <c r="I139" s="2">
        <f t="shared" si="75"/>
        <v>53</v>
      </c>
      <c r="J139" s="12">
        <v>40</v>
      </c>
      <c r="K139" s="12">
        <v>125</v>
      </c>
      <c r="L139" s="16" t="s">
        <v>34</v>
      </c>
      <c r="M139" s="14">
        <f t="shared" si="66"/>
        <v>0</v>
      </c>
      <c r="N139" s="15">
        <f t="shared" si="67"/>
        <v>0</v>
      </c>
      <c r="O139" s="15" t="str">
        <f t="shared" si="68"/>
        <v>NO</v>
      </c>
      <c r="P139" s="25" t="str">
        <f>IF(L139&lt;&gt;0, IF(L139="Gap", O139, IF(L140&lt;&gt;0,  IF(O139="NO", "NO", "YES"), IF(L141&lt;&gt;0, IF(AND(O139="NO", O140="NO"), "NO", "YES"), IF(L143&lt;&gt;0, IF(AND(O139="NO", O140="NO", O141="NO"), "NO", "YES"), IF(AND(O139="NO", O140="NO", O141="NO", O143="NO"), "NO", "YES"))))))</f>
        <v>NO</v>
      </c>
      <c r="Q139" s="25">
        <f t="shared" si="76"/>
        <v>0</v>
      </c>
      <c r="R139" s="25">
        <f t="shared" si="69"/>
        <v>0</v>
      </c>
      <c r="S139" s="25">
        <f t="shared" si="70"/>
        <v>0</v>
      </c>
      <c r="T139" s="12" t="s">
        <v>7</v>
      </c>
      <c r="U139" s="12" t="s">
        <v>35</v>
      </c>
      <c r="V139" s="25">
        <f t="shared" si="71"/>
        <v>0</v>
      </c>
      <c r="W139" s="10">
        <f t="shared" si="77"/>
        <v>0</v>
      </c>
      <c r="Y139" s="1">
        <f t="shared" si="72"/>
        <v>1</v>
      </c>
    </row>
    <row r="140" spans="1:25" ht="15.75" outlineLevel="1" thickBot="1" x14ac:dyDescent="0.3">
      <c r="A140" s="12" t="s">
        <v>5</v>
      </c>
      <c r="B140" s="16"/>
      <c r="C140" s="30">
        <v>0</v>
      </c>
      <c r="D140" s="11">
        <v>18</v>
      </c>
      <c r="E140" s="11">
        <f t="shared" si="73"/>
        <v>18</v>
      </c>
      <c r="F140" s="11">
        <f t="shared" si="65"/>
        <v>18</v>
      </c>
      <c r="G140" s="2">
        <f>VLOOKUP('930-4'!D140,Table1[],2,0)</f>
        <v>18</v>
      </c>
      <c r="H140" s="13">
        <f t="shared" si="74"/>
        <v>143.5608</v>
      </c>
      <c r="I140" s="2">
        <f t="shared" si="75"/>
        <v>144</v>
      </c>
      <c r="J140" s="12">
        <v>40</v>
      </c>
      <c r="K140" s="12">
        <v>45</v>
      </c>
      <c r="L140" s="34" t="s">
        <v>34</v>
      </c>
      <c r="M140" s="14">
        <f t="shared" si="66"/>
        <v>0</v>
      </c>
      <c r="N140" s="15">
        <f t="shared" si="67"/>
        <v>0</v>
      </c>
      <c r="O140" s="15" t="str">
        <f t="shared" si="68"/>
        <v>NO</v>
      </c>
      <c r="P140" s="25" t="str">
        <f>IF(L140&lt;&gt;0, IF(L140="Gap", O140, IF(L141&lt;&gt;0,  IF(O140="NO", "NO", "YES"), IF(L143&lt;&gt;0, IF(AND(O140="NO", O141="NO"), "NO", "YES"), IF(L144&lt;&gt;0, IF(AND(O140="NO", O141="NO", O143="NO"), "NO", "YES"), IF(AND(O140="NO", O141="NO", O143="NO", O144="NO"), "NO", "YES"))))))</f>
        <v>NO</v>
      </c>
      <c r="Q140" s="25">
        <f t="shared" si="76"/>
        <v>0</v>
      </c>
      <c r="R140" s="25">
        <f t="shared" si="69"/>
        <v>0</v>
      </c>
      <c r="S140" s="25">
        <f t="shared" si="70"/>
        <v>0</v>
      </c>
      <c r="T140" s="12" t="s">
        <v>7</v>
      </c>
      <c r="U140" s="12" t="s">
        <v>35</v>
      </c>
      <c r="V140" s="25">
        <f t="shared" si="71"/>
        <v>0</v>
      </c>
      <c r="W140" s="10">
        <f t="shared" si="77"/>
        <v>0</v>
      </c>
      <c r="Y140" s="1">
        <f t="shared" si="72"/>
        <v>1</v>
      </c>
    </row>
    <row r="141" spans="1:25" ht="15.75" outlineLevel="1" thickBot="1" x14ac:dyDescent="0.3">
      <c r="A141" s="16" t="s">
        <v>5</v>
      </c>
      <c r="B141" s="16"/>
      <c r="C141" s="30">
        <v>0</v>
      </c>
      <c r="D141" s="17">
        <v>18</v>
      </c>
      <c r="E141" s="11">
        <f t="shared" si="73"/>
        <v>18</v>
      </c>
      <c r="F141" s="11">
        <f t="shared" si="65"/>
        <v>18</v>
      </c>
      <c r="G141" s="2">
        <f>VLOOKUP('930-4'!D141,Table1[],2,0)</f>
        <v>18</v>
      </c>
      <c r="H141" s="19">
        <f t="shared" si="74"/>
        <v>143.5608</v>
      </c>
      <c r="I141" s="18">
        <f t="shared" si="75"/>
        <v>144</v>
      </c>
      <c r="J141" s="12">
        <v>40</v>
      </c>
      <c r="K141" s="12">
        <v>10</v>
      </c>
      <c r="L141" s="35"/>
      <c r="M141" s="14">
        <f t="shared" si="66"/>
        <v>0</v>
      </c>
      <c r="N141" s="15">
        <f t="shared" si="67"/>
        <v>0</v>
      </c>
      <c r="O141" s="15" t="str">
        <f t="shared" si="68"/>
        <v>NO</v>
      </c>
      <c r="P141" s="25" t="b">
        <f>IF(L141&lt;&gt;0, IF(L141="Gap", O141, IF(L143&lt;&gt;0,  IF(O141="NO", "NO", "YES"), IF(L144&lt;&gt;0, IF(AND(O141="NO", O143="NO"), "NO", "YES"), IF(L145&lt;&gt;0, IF(AND(O141="NO", O143="NO", O144="NO"), "NO", "YES"), IF(AND(O141="NO", O143="NO", O144="NO", O145="NO"), "NO", "YES"))))))</f>
        <v>0</v>
      </c>
      <c r="Q141" s="25">
        <f t="shared" si="76"/>
        <v>0</v>
      </c>
      <c r="R141" s="25">
        <f t="shared" si="69"/>
        <v>0</v>
      </c>
      <c r="S141" s="25">
        <f t="shared" si="70"/>
        <v>0</v>
      </c>
      <c r="T141" s="12" t="s">
        <v>7</v>
      </c>
      <c r="U141" s="12" t="s">
        <v>35</v>
      </c>
      <c r="V141" s="25">
        <f t="shared" si="71"/>
        <v>0</v>
      </c>
      <c r="W141" s="10">
        <f t="shared" si="77"/>
        <v>0</v>
      </c>
      <c r="Y141" s="1">
        <f t="shared" si="72"/>
        <v>1</v>
      </c>
    </row>
    <row r="142" spans="1:25" ht="15.75" outlineLevel="1" thickBot="1" x14ac:dyDescent="0.3">
      <c r="A142" s="12" t="s">
        <v>5</v>
      </c>
      <c r="B142" s="16"/>
      <c r="C142" s="30">
        <v>0</v>
      </c>
      <c r="D142" s="11">
        <v>10</v>
      </c>
      <c r="E142" s="11">
        <f t="shared" si="73"/>
        <v>10</v>
      </c>
      <c r="F142" s="11">
        <f t="shared" si="65"/>
        <v>0</v>
      </c>
      <c r="G142" s="2">
        <f>VLOOKUP('930-4'!D142,Table1[],2,0)</f>
        <v>10.75</v>
      </c>
      <c r="H142" s="13">
        <f t="shared" si="74"/>
        <v>85.737700000000004</v>
      </c>
      <c r="I142" s="2">
        <f t="shared" si="75"/>
        <v>86</v>
      </c>
      <c r="J142" s="12">
        <v>40</v>
      </c>
      <c r="K142" s="12">
        <v>35</v>
      </c>
      <c r="L142" s="16" t="s">
        <v>13</v>
      </c>
      <c r="M142" s="14">
        <f t="shared" si="66"/>
        <v>0</v>
      </c>
      <c r="N142" s="15">
        <f t="shared" si="67"/>
        <v>0</v>
      </c>
      <c r="O142" s="15" t="str">
        <f t="shared" si="68"/>
        <v>NO</v>
      </c>
      <c r="P142" s="25" t="str">
        <f>IF(L142&lt;&gt;0, IF(L142="Gap", O142, IF(L148&lt;&gt;0,  IF(O142="NO", "NO", "YES"), IF(L149&lt;&gt;0, IF(AND(O142="NO", O148="NO"), "NO", "YES"), IF(L150&lt;&gt;0, IF(AND(O142="NO", O148="NO", O149="NO"), "NO", "YES"), IF(AND(O142="NO", O148="NO", O149="NO", O150="NO"), "NO", "YES"))))))</f>
        <v>NO</v>
      </c>
      <c r="Q142" s="25">
        <f t="shared" si="76"/>
        <v>0</v>
      </c>
      <c r="R142" s="25">
        <f t="shared" si="69"/>
        <v>0</v>
      </c>
      <c r="S142" s="25">
        <f t="shared" si="70"/>
        <v>0</v>
      </c>
      <c r="T142" s="12" t="s">
        <v>7</v>
      </c>
      <c r="U142" s="12" t="s">
        <v>35</v>
      </c>
      <c r="V142" s="25">
        <f t="shared" si="71"/>
        <v>0</v>
      </c>
      <c r="W142" s="10">
        <f t="shared" si="77"/>
        <v>0</v>
      </c>
      <c r="Y142" s="1">
        <f t="shared" si="72"/>
        <v>1</v>
      </c>
    </row>
    <row r="143" spans="1:25" ht="15.75" outlineLevel="1" thickBot="1" x14ac:dyDescent="0.3">
      <c r="A143" s="12" t="s">
        <v>5</v>
      </c>
      <c r="B143" s="32"/>
      <c r="C143" s="30">
        <v>0</v>
      </c>
      <c r="D143" s="11">
        <v>10</v>
      </c>
      <c r="E143" s="11">
        <f t="shared" si="73"/>
        <v>10</v>
      </c>
      <c r="F143" s="11">
        <f t="shared" si="65"/>
        <v>10</v>
      </c>
      <c r="G143" s="2">
        <f>VLOOKUP('930-4'!D143,Table1[],2,0)</f>
        <v>10.75</v>
      </c>
      <c r="H143" s="13">
        <f t="shared" si="74"/>
        <v>85.737700000000004</v>
      </c>
      <c r="I143" s="2">
        <f t="shared" si="75"/>
        <v>86</v>
      </c>
      <c r="J143" s="12">
        <v>40</v>
      </c>
      <c r="K143" s="12">
        <v>50</v>
      </c>
      <c r="L143" s="34" t="s">
        <v>34</v>
      </c>
      <c r="M143" s="14">
        <f t="shared" si="66"/>
        <v>0</v>
      </c>
      <c r="N143" s="15">
        <f t="shared" si="67"/>
        <v>0</v>
      </c>
      <c r="O143" s="15" t="str">
        <f t="shared" si="68"/>
        <v>NO</v>
      </c>
      <c r="P143" s="25" t="str">
        <f>IF(L143&lt;&gt;0, IF(L143="Gap", O143, IF(L144&lt;&gt;0,  IF(O143="NO", "NO", "YES"), IF(L145&lt;&gt;0, IF(AND(O143="NO", O144="NO"), "NO", "YES"), IF(L146&lt;&gt;0, IF(AND(O143="NO", O144="NO", O145="NO"), "NO", "YES"), IF(AND(O143="NO", O144="NO", O145="NO", O146="NO"), "NO", "YES"))))))</f>
        <v>NO</v>
      </c>
      <c r="Q143" s="25">
        <f t="shared" si="76"/>
        <v>0</v>
      </c>
      <c r="R143" s="25">
        <f t="shared" si="69"/>
        <v>0</v>
      </c>
      <c r="S143" s="25">
        <f t="shared" si="70"/>
        <v>0</v>
      </c>
      <c r="T143" s="12" t="s">
        <v>7</v>
      </c>
      <c r="U143" s="12" t="s">
        <v>35</v>
      </c>
      <c r="V143" s="25">
        <f t="shared" si="71"/>
        <v>0</v>
      </c>
      <c r="W143" s="10">
        <f t="shared" si="77"/>
        <v>0</v>
      </c>
      <c r="Y143" s="1">
        <f t="shared" si="72"/>
        <v>1</v>
      </c>
    </row>
    <row r="144" spans="1:25" ht="15.75" outlineLevel="1" thickBot="1" x14ac:dyDescent="0.3">
      <c r="A144" s="12" t="s">
        <v>5</v>
      </c>
      <c r="B144" s="16"/>
      <c r="C144" s="30">
        <v>0</v>
      </c>
      <c r="D144" s="11">
        <v>10</v>
      </c>
      <c r="E144" s="11">
        <f t="shared" si="73"/>
        <v>10</v>
      </c>
      <c r="F144" s="11">
        <f t="shared" si="65"/>
        <v>10</v>
      </c>
      <c r="G144" s="2">
        <f>VLOOKUP('930-4'!D144,Table1[],2,0)</f>
        <v>10.75</v>
      </c>
      <c r="H144" s="13">
        <f t="shared" si="74"/>
        <v>85.737700000000004</v>
      </c>
      <c r="I144" s="2">
        <f t="shared" si="75"/>
        <v>86</v>
      </c>
      <c r="J144" s="12">
        <v>40</v>
      </c>
      <c r="K144" s="12">
        <v>80</v>
      </c>
      <c r="L144" s="35"/>
      <c r="M144" s="14">
        <f t="shared" si="66"/>
        <v>0</v>
      </c>
      <c r="N144" s="15">
        <f t="shared" si="67"/>
        <v>0</v>
      </c>
      <c r="O144" s="15" t="str">
        <f t="shared" si="68"/>
        <v>NO</v>
      </c>
      <c r="P144" s="25" t="b">
        <f>IF(L144&lt;&gt;0, IF(L144="Gap", O144, IF(L145&lt;&gt;0,  IF(O144="NO", "NO", "YES"), IF(L146&lt;&gt;0, IF(AND(O144="NO", O145="NO"), "NO", "YES"), IF(L148&lt;&gt;0, IF(AND(O144="NO", O145="NO", O146="NO"), "NO", "YES"), IF(AND(O144="NO", O145="NO", O146="NO", O148="NO"), "NO", "YES"))))))</f>
        <v>0</v>
      </c>
      <c r="Q144" s="25">
        <f t="shared" si="76"/>
        <v>0</v>
      </c>
      <c r="R144" s="25">
        <f t="shared" si="69"/>
        <v>0</v>
      </c>
      <c r="S144" s="25">
        <f t="shared" si="70"/>
        <v>0</v>
      </c>
      <c r="T144" s="12" t="s">
        <v>7</v>
      </c>
      <c r="U144" s="12" t="s">
        <v>35</v>
      </c>
      <c r="V144" s="25">
        <f t="shared" si="71"/>
        <v>0</v>
      </c>
      <c r="W144" s="10">
        <f t="shared" si="77"/>
        <v>0</v>
      </c>
      <c r="Y144" s="1">
        <f t="shared" si="72"/>
        <v>1</v>
      </c>
    </row>
    <row r="145" spans="1:25" ht="15.75" outlineLevel="1" thickBot="1" x14ac:dyDescent="0.3">
      <c r="A145" s="12" t="s">
        <v>5</v>
      </c>
      <c r="B145" s="16"/>
      <c r="C145" s="30">
        <v>0</v>
      </c>
      <c r="D145" s="11">
        <v>10</v>
      </c>
      <c r="E145" s="11">
        <f t="shared" si="73"/>
        <v>10</v>
      </c>
      <c r="F145" s="11">
        <f t="shared" si="65"/>
        <v>10</v>
      </c>
      <c r="G145" s="2">
        <f>VLOOKUP('930-4'!D145,Table1[],2,0)</f>
        <v>10.75</v>
      </c>
      <c r="H145" s="13">
        <f t="shared" si="74"/>
        <v>85.737700000000004</v>
      </c>
      <c r="I145" s="2">
        <f t="shared" si="75"/>
        <v>86</v>
      </c>
      <c r="J145" s="12">
        <v>40</v>
      </c>
      <c r="K145" s="12">
        <v>55</v>
      </c>
      <c r="L145" s="34" t="s">
        <v>34</v>
      </c>
      <c r="M145" s="14">
        <f t="shared" si="66"/>
        <v>0</v>
      </c>
      <c r="N145" s="15">
        <f t="shared" si="67"/>
        <v>0</v>
      </c>
      <c r="O145" s="15" t="str">
        <f t="shared" si="68"/>
        <v>NO</v>
      </c>
      <c r="P145" s="25" t="str">
        <f>IF(L145&lt;&gt;0, IF(L145="Gap", O145, IF(L146&lt;&gt;0,  IF(O145="NO", "NO", "YES"), IF(L148&lt;&gt;0, IF(AND(O145="NO", O146="NO"), "NO", "YES"), IF(L149&lt;&gt;0, IF(AND(O145="NO", O146="NO", O148="NO"), "NO", "YES"), IF(AND(O145="NO", O146="NO", O148="NO", O149="NO"), "NO", "YES"))))))</f>
        <v>NO</v>
      </c>
      <c r="Q145" s="25">
        <f t="shared" si="76"/>
        <v>0</v>
      </c>
      <c r="R145" s="25">
        <f t="shared" si="69"/>
        <v>0</v>
      </c>
      <c r="S145" s="25">
        <f t="shared" si="70"/>
        <v>0</v>
      </c>
      <c r="T145" s="12" t="s">
        <v>7</v>
      </c>
      <c r="U145" s="12" t="s">
        <v>35</v>
      </c>
      <c r="V145" s="25">
        <f t="shared" si="71"/>
        <v>0</v>
      </c>
      <c r="W145" s="10">
        <f t="shared" si="77"/>
        <v>0</v>
      </c>
      <c r="Y145" s="1">
        <f t="shared" si="72"/>
        <v>1</v>
      </c>
    </row>
    <row r="146" spans="1:25" ht="15.75" outlineLevel="1" thickBot="1" x14ac:dyDescent="0.3">
      <c r="A146" s="16" t="s">
        <v>5</v>
      </c>
      <c r="B146" s="16"/>
      <c r="C146" s="30">
        <v>0</v>
      </c>
      <c r="D146" s="17">
        <v>10</v>
      </c>
      <c r="E146" s="11">
        <f t="shared" si="73"/>
        <v>10</v>
      </c>
      <c r="F146" s="11">
        <f t="shared" si="65"/>
        <v>10</v>
      </c>
      <c r="G146" s="2">
        <f>VLOOKUP('930-4'!D146,Table1[],2,0)</f>
        <v>10.75</v>
      </c>
      <c r="H146" s="19">
        <f t="shared" si="74"/>
        <v>85.737700000000004</v>
      </c>
      <c r="I146" s="18">
        <f t="shared" si="75"/>
        <v>86</v>
      </c>
      <c r="J146" s="12">
        <v>40</v>
      </c>
      <c r="K146" s="12">
        <v>75</v>
      </c>
      <c r="L146" s="35"/>
      <c r="M146" s="14">
        <f t="shared" si="66"/>
        <v>0</v>
      </c>
      <c r="N146" s="15">
        <f t="shared" si="67"/>
        <v>0</v>
      </c>
      <c r="O146" s="15" t="str">
        <f t="shared" si="68"/>
        <v>NO</v>
      </c>
      <c r="P146" s="25" t="b">
        <f>IF(L146&lt;&gt;0, IF(L146="Gap", O146, IF(L148&lt;&gt;0,  IF(O146="NO", "NO", "YES"), IF(L149&lt;&gt;0, IF(AND(O146="NO", O148="NO"), "NO", "YES"), IF(L150&lt;&gt;0, IF(AND(O146="NO", O148="NO", O149="NO"), "NO", "YES"), IF(AND(O146="NO", O148="NO", O149="NO", O150="NO"), "NO", "YES"))))))</f>
        <v>0</v>
      </c>
      <c r="Q146" s="25">
        <f>IF(L146=0,0,IF(L147&lt;&gt;0,N146,IF(L148&lt;&gt;0,N146+N147,IF(L149&lt;&gt;0,N146+N147+N148,IF(L150&lt;&gt;0,N146+N147+N148+N149,IF(#REF!&lt;&gt;0,N146+N147+N148+N149+N150,N146+N147+N148+N149+N150+#REF!))))))</f>
        <v>0</v>
      </c>
      <c r="R146" s="25">
        <f t="shared" si="69"/>
        <v>0</v>
      </c>
      <c r="S146" s="25">
        <f>IF(L146=0, 0, IF(L147&lt;&gt;0, R146, IF(L148&lt;&gt;0, R146+R147, IF(L149&lt;&gt;0, R146+R147+R148, IF(L150&lt;&gt;0, R146+R147+R148+R149, IF(#REF!&lt;&gt;0, R146+R147+R148+R149+R150, R146+R147+R148+R149+R150+#REF!))))))</f>
        <v>0</v>
      </c>
      <c r="T146" s="12" t="s">
        <v>7</v>
      </c>
      <c r="U146" s="12" t="s">
        <v>35</v>
      </c>
      <c r="V146" s="25">
        <f t="shared" si="71"/>
        <v>0</v>
      </c>
      <c r="W146" s="10">
        <f t="shared" si="77"/>
        <v>0</v>
      </c>
      <c r="Y146" s="1">
        <f t="shared" si="72"/>
        <v>1</v>
      </c>
    </row>
    <row r="147" spans="1:25" ht="15.75" outlineLevel="1" thickBot="1" x14ac:dyDescent="0.3">
      <c r="A147" s="16"/>
      <c r="B147" s="16"/>
      <c r="C147" s="30">
        <v>0</v>
      </c>
      <c r="D147" s="17">
        <v>10</v>
      </c>
      <c r="E147" s="11">
        <f t="shared" si="73"/>
        <v>10</v>
      </c>
      <c r="F147" s="11">
        <f t="shared" si="65"/>
        <v>0</v>
      </c>
      <c r="G147" s="2">
        <f>VLOOKUP('930-4'!D147,Table1[],2,0)</f>
        <v>10.75</v>
      </c>
      <c r="H147" s="19">
        <f t="shared" si="74"/>
        <v>85.737700000000004</v>
      </c>
      <c r="I147" s="18">
        <f t="shared" si="75"/>
        <v>86</v>
      </c>
      <c r="J147" s="12">
        <v>40</v>
      </c>
      <c r="K147" s="12">
        <v>45</v>
      </c>
      <c r="L147" s="16" t="s">
        <v>13</v>
      </c>
      <c r="M147" s="14">
        <f t="shared" si="66"/>
        <v>0</v>
      </c>
      <c r="N147" s="15">
        <f t="shared" si="67"/>
        <v>0</v>
      </c>
      <c r="O147" s="15" t="str">
        <f t="shared" si="68"/>
        <v>NO</v>
      </c>
      <c r="P147" s="25" t="str">
        <f>IF(L147&lt;&gt;0, IF(L147="Gap", O147, IF(L148&lt;&gt;0,  IF(O147="NO", "NO", "YES"), IF(L149&lt;&gt;0, IF(AND(O147="NO", O148="NO"), "NO", "YES"), IF(L150&lt;&gt;0, IF(AND(O147="NO", O148="NO", O149="NO"), "NO", "YES"), IF(AND(O147="NO", O148="NO", O149="NO", O150="NO"), "NO", "YES"))))))</f>
        <v>NO</v>
      </c>
      <c r="Q147" s="25">
        <f>IF(L147=0,0,IF(L148&lt;&gt;0,N147,IF(L149&lt;&gt;0,N147+N148,IF(L150&lt;&gt;0,N147+N148+N149,IF(#REF!&lt;&gt;0,N147+N148+N149+N150,IF(#REF!&lt;&gt;0,N147+N148+N149+N150+#REF!,N147+N148+N149+N150+#REF!+#REF!))))))</f>
        <v>0</v>
      </c>
      <c r="R147" s="25">
        <f t="shared" si="69"/>
        <v>0</v>
      </c>
      <c r="S147" s="25">
        <f>IF(L147=0, 0, IF(L148&lt;&gt;0, R147, IF(L149&lt;&gt;0, R147+R148, IF(L150&lt;&gt;0, R147+R148+R149, IF(#REF!&lt;&gt;0, R147+R148+R149+R150, IF(#REF!&lt;&gt;0, R147+R148+R149+R150+#REF!, R147+R148+R149+R150+#REF!+#REF!))))))</f>
        <v>0</v>
      </c>
      <c r="T147" s="12" t="s">
        <v>7</v>
      </c>
      <c r="U147" s="12" t="s">
        <v>35</v>
      </c>
      <c r="V147" s="25">
        <f t="shared" si="71"/>
        <v>0</v>
      </c>
      <c r="W147" s="10">
        <f t="shared" si="77"/>
        <v>0</v>
      </c>
      <c r="Y147" s="1">
        <f>IF(L147="FULL",IF(L148=0,IF(L149=0,IF(L150=0,IF(#REF!=0,5,4),3),2),1),IF(L147=0,Y146,1))</f>
        <v>1</v>
      </c>
    </row>
    <row r="148" spans="1:25" outlineLevel="1" x14ac:dyDescent="0.25">
      <c r="A148" s="16"/>
      <c r="B148" s="16"/>
      <c r="C148" s="30">
        <v>0</v>
      </c>
      <c r="D148" s="17">
        <v>2</v>
      </c>
      <c r="E148" s="11">
        <f t="shared" si="73"/>
        <v>2</v>
      </c>
      <c r="F148" s="11">
        <f t="shared" si="65"/>
        <v>0</v>
      </c>
      <c r="G148" s="2">
        <f>VLOOKUP('930-4'!D148,Table1[],2,0)</f>
        <v>2.375</v>
      </c>
      <c r="H148" s="19">
        <f t="shared" si="74"/>
        <v>18.942050000000002</v>
      </c>
      <c r="I148" s="18">
        <f t="shared" si="75"/>
        <v>19</v>
      </c>
      <c r="J148" s="12">
        <v>40</v>
      </c>
      <c r="K148" s="12">
        <v>45</v>
      </c>
      <c r="L148" s="16" t="s">
        <v>13</v>
      </c>
      <c r="M148" s="14">
        <f t="shared" si="66"/>
        <v>0</v>
      </c>
      <c r="N148" s="15">
        <f t="shared" si="67"/>
        <v>0</v>
      </c>
      <c r="O148" s="15" t="str">
        <f t="shared" si="68"/>
        <v>NO</v>
      </c>
      <c r="P148" s="25" t="str">
        <f>IF(L148&lt;&gt;0, IF(L148="Gap", O148, IF(L149&lt;&gt;0,  IF(O148="NO", "NO", "YES"), IF(L150&lt;&gt;0, IF(AND(O148="NO", O149="NO"), "NO", "YES"), IF(#REF!&lt;&gt;0, IF(AND(O148="NO", O149="NO", O150="NO"), "NO", "YES"), IF(AND(O148="NO", O149="NO", O150="NO",#REF!= "NO"), "NO", "YES"))))))</f>
        <v>NO</v>
      </c>
      <c r="Q148" s="25">
        <f>IF(L148=0,0,IF(L149&lt;&gt;0,N148,IF(L150&lt;&gt;0,N148+N149,IF(#REF!&lt;&gt;0,N148+N149+N150,IF(#REF!&lt;&gt;0,N148+N149+N150+#REF!,IF(#REF!&lt;&gt;0,N148+N149+N150+#REF!+#REF!,N148+N149+N150+#REF!+#REF!+#REF!))))))</f>
        <v>0</v>
      </c>
      <c r="R148" s="25">
        <f t="shared" si="69"/>
        <v>0</v>
      </c>
      <c r="S148" s="25">
        <f>IF(L148=0, 0, IF(L149&lt;&gt;0, R148, IF(L150&lt;&gt;0, R148+R149, IF(#REF!&lt;&gt;0, R148+R149+R150, IF(#REF!&lt;&gt;0, R148+R149+R150+#REF!, IF(#REF!&lt;&gt;0, R148+R149+R150+#REF!+#REF!, R148+R149+R150+#REF!+#REF!+#REF!))))))</f>
        <v>0</v>
      </c>
      <c r="T148" s="12" t="s">
        <v>7</v>
      </c>
      <c r="U148" s="12" t="s">
        <v>35</v>
      </c>
      <c r="V148" s="25">
        <f t="shared" si="71"/>
        <v>0</v>
      </c>
      <c r="W148" s="10">
        <f t="shared" si="77"/>
        <v>0</v>
      </c>
      <c r="Y148" s="1">
        <f>IF(L148="FULL",IF(L149=0,IF(L150=0,IF(#REF!=0,IF(#REF!=0,5,4),3),2),1),IF(L148=0,Y147,1))</f>
        <v>1</v>
      </c>
    </row>
    <row r="149" spans="1:25" ht="15" customHeight="1" outlineLevel="1" x14ac:dyDescent="0.25">
      <c r="A149" s="29" t="s">
        <v>20</v>
      </c>
      <c r="B149" s="29" t="s">
        <v>20</v>
      </c>
      <c r="C149" s="29" t="s">
        <v>20</v>
      </c>
      <c r="D149" s="29" t="s">
        <v>20</v>
      </c>
      <c r="E149" s="29" t="s">
        <v>20</v>
      </c>
      <c r="F149" s="29"/>
      <c r="G149" s="29" t="s">
        <v>20</v>
      </c>
      <c r="H149" s="29" t="s">
        <v>20</v>
      </c>
      <c r="I149" s="29" t="s">
        <v>20</v>
      </c>
      <c r="J149" s="29" t="s">
        <v>20</v>
      </c>
      <c r="K149" s="29" t="s">
        <v>20</v>
      </c>
      <c r="L149" s="29" t="s">
        <v>20</v>
      </c>
      <c r="M149" s="29" t="s">
        <v>20</v>
      </c>
      <c r="N149" s="29" t="s">
        <v>20</v>
      </c>
      <c r="O149" s="29" t="s">
        <v>20</v>
      </c>
      <c r="P149" s="29" t="s">
        <v>20</v>
      </c>
      <c r="Q149" s="29" t="s">
        <v>20</v>
      </c>
      <c r="R149" s="29" t="s">
        <v>20</v>
      </c>
      <c r="S149" s="29" t="s">
        <v>20</v>
      </c>
      <c r="T149" s="29" t="s">
        <v>20</v>
      </c>
      <c r="U149" s="29" t="s">
        <v>20</v>
      </c>
      <c r="V149" s="29" t="s">
        <v>20</v>
      </c>
      <c r="W149" s="29" t="s">
        <v>20</v>
      </c>
      <c r="Y149" s="1">
        <f>IF(L149="FULL",IF(L150=0,IF(#REF!=0,IF(#REF!=0,IF(#REF!=0,5,4),3),2),1),IF(L149=0,Y148,1))</f>
        <v>1</v>
      </c>
    </row>
    <row r="150" spans="1:25" ht="15.75" thickBot="1" x14ac:dyDescent="0.3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21"/>
      <c r="N150" s="21"/>
      <c r="O150" s="21"/>
      <c r="P150" s="21"/>
      <c r="Q150" s="31">
        <f>SUM(Q133:Q148)</f>
        <v>19</v>
      </c>
      <c r="R150" s="31"/>
      <c r="S150" s="31">
        <f>SUM(R133:R148)</f>
        <v>19</v>
      </c>
      <c r="T150" s="31"/>
      <c r="U150" s="20"/>
      <c r="V150" s="21">
        <f>IF(COUNTIF(V133:V148,  "Segment Error")=0, IF(AND(SUM(V133:V148)&lt;50, COUNTIF(P133:P148, "YES")=0), 50, SUM(V133:V148)), "Segment Error")</f>
        <v>50</v>
      </c>
      <c r="W150" s="22">
        <f>V150*2400000</f>
        <v>120000000</v>
      </c>
      <c r="Y150" s="1">
        <f>IF(L150="FULL",IF(#REF!=0,IF(#REF!=0,IF(#REF!=0,IF(#REF!=0,5,4),3),2),1),IF(L150=0,Y149,1))</f>
        <v>1</v>
      </c>
    </row>
    <row r="151" spans="1:25" ht="27" customHeight="1" x14ac:dyDescent="0.25">
      <c r="A151" s="44" t="s">
        <v>44</v>
      </c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Y151" s="27" t="s">
        <v>17</v>
      </c>
    </row>
    <row r="152" spans="1:25" ht="15" hidden="1" customHeight="1" x14ac:dyDescent="0.25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Y152" s="1">
        <v>1</v>
      </c>
    </row>
    <row r="153" spans="1:25" ht="15" hidden="1" customHeight="1" x14ac:dyDescent="0.25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Y153" s="1">
        <v>1</v>
      </c>
    </row>
    <row r="154" spans="1:25" ht="15" hidden="1" customHeight="1" thickBot="1" x14ac:dyDescent="0.3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Y154" s="1">
        <v>1</v>
      </c>
    </row>
    <row r="155" spans="1:25" ht="15.75" thickBot="1" x14ac:dyDescent="0.3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Y155" s="1">
        <v>1</v>
      </c>
    </row>
    <row r="156" spans="1:25" ht="30" customHeight="1" x14ac:dyDescent="0.25">
      <c r="A156" s="37" t="s">
        <v>0</v>
      </c>
      <c r="B156" s="37" t="s">
        <v>8</v>
      </c>
      <c r="C156" s="39" t="s">
        <v>29</v>
      </c>
      <c r="D156" s="37" t="s">
        <v>28</v>
      </c>
      <c r="E156" s="37" t="s">
        <v>28</v>
      </c>
      <c r="F156" s="39" t="s">
        <v>33</v>
      </c>
      <c r="G156" s="39" t="s">
        <v>16</v>
      </c>
      <c r="H156" s="37" t="s">
        <v>9</v>
      </c>
      <c r="I156" s="39" t="s">
        <v>12</v>
      </c>
      <c r="J156" s="41" t="s">
        <v>1</v>
      </c>
      <c r="K156" s="41"/>
      <c r="L156" s="41"/>
      <c r="M156" s="37" t="s">
        <v>14</v>
      </c>
      <c r="N156" s="39" t="s">
        <v>18</v>
      </c>
      <c r="O156" s="39" t="s">
        <v>32</v>
      </c>
      <c r="P156" s="39" t="s">
        <v>21</v>
      </c>
      <c r="Q156" s="39" t="s">
        <v>30</v>
      </c>
      <c r="R156" s="39" t="s">
        <v>19</v>
      </c>
      <c r="S156" s="39" t="s">
        <v>25</v>
      </c>
      <c r="T156" s="41" t="s">
        <v>3</v>
      </c>
      <c r="U156" s="37" t="s">
        <v>4</v>
      </c>
      <c r="V156" s="37" t="s">
        <v>6</v>
      </c>
      <c r="W156" s="42" t="s">
        <v>15</v>
      </c>
      <c r="Y156" s="1">
        <v>1</v>
      </c>
    </row>
    <row r="157" spans="1:25" ht="30" customHeight="1" thickBot="1" x14ac:dyDescent="0.3">
      <c r="A157" s="38"/>
      <c r="B157" s="38"/>
      <c r="C157" s="40"/>
      <c r="D157" s="38"/>
      <c r="E157" s="38"/>
      <c r="F157" s="40"/>
      <c r="G157" s="40"/>
      <c r="H157" s="38"/>
      <c r="I157" s="40"/>
      <c r="J157" s="26" t="s">
        <v>26</v>
      </c>
      <c r="K157" s="26" t="s">
        <v>27</v>
      </c>
      <c r="L157" s="2" t="s">
        <v>2</v>
      </c>
      <c r="M157" s="38"/>
      <c r="N157" s="40"/>
      <c r="O157" s="40"/>
      <c r="P157" s="40"/>
      <c r="Q157" s="40"/>
      <c r="R157" s="40"/>
      <c r="S157" s="40"/>
      <c r="T157" s="46"/>
      <c r="U157" s="38"/>
      <c r="V157" s="38"/>
      <c r="W157" s="43"/>
      <c r="Y157" s="1">
        <v>1</v>
      </c>
    </row>
    <row r="158" spans="1:25" ht="15.75" outlineLevel="1" thickBot="1" x14ac:dyDescent="0.3">
      <c r="A158" s="12" t="s">
        <v>5</v>
      </c>
      <c r="B158" s="16"/>
      <c r="C158" s="30">
        <v>5</v>
      </c>
      <c r="D158" s="11">
        <v>2</v>
      </c>
      <c r="E158" s="11">
        <f>IF(D158="4.5 C", 4.5, IF(D158="4.8 C", 4.8, D158))</f>
        <v>2</v>
      </c>
      <c r="F158" s="11">
        <f t="shared" ref="F158:F173" si="78">IF(L158="Full", IF(Y158=1, E158*C158, E158), IF(L158="Gap", C158, E158))</f>
        <v>10</v>
      </c>
      <c r="G158" s="2">
        <f>VLOOKUP('930-4'!D158,Table1[],2,0)</f>
        <v>2.375</v>
      </c>
      <c r="H158" s="13">
        <f>G158*3.14*2.54</f>
        <v>18.942050000000002</v>
      </c>
      <c r="I158" s="2">
        <f>ROUNDUP(H158, 0)</f>
        <v>19</v>
      </c>
      <c r="J158" s="12">
        <v>40</v>
      </c>
      <c r="K158" s="12">
        <v>50</v>
      </c>
      <c r="L158" s="16" t="s">
        <v>13</v>
      </c>
      <c r="M158" s="14">
        <f t="shared" ref="M158:M173" si="79">IF(L158="Gap",C158, IF(E158&lt;=3, 3*C158, IF(L158="Full", C158*E158/Y158, IF(J158=K158,"Error", IF(K158&lt;J158, C158*(I158+K158-J158)*H158*E158/(3.14*2.54*I158*G158), C158*(K158-J158)*H158*E158/(3.14*2.54*I158*G158))))))</f>
        <v>15</v>
      </c>
      <c r="N158" s="15">
        <f t="shared" ref="N158:N173" si="80">IF(L158=0,IF(L157=0,IF(L156=0,IF(L155=0,IF(L154=0,IF(L153=0,IF(L152="Segment",M158,0),IF(L153="Segment",M158,0)),IF(L154="Segment",M158,0)),IF(L155="Segment",M158,0)),IF(L156="Segment",M158,0)),IF(L157="Segment",M158,0)),M158)</f>
        <v>15</v>
      </c>
      <c r="O158" s="15" t="str">
        <f t="shared" ref="O158:O173" si="81">IF(OR(T158="REJ",T158="NOT DONE-CONTRACTOR"), "YES", "NO")</f>
        <v>NO</v>
      </c>
      <c r="P158" s="25" t="str">
        <f>IF(L158&lt;&gt;0, IF(L158="Gap", O158, IF(L159&lt;&gt;0,  IF(O158="NO", "NO", "YES"), IF(L160&lt;&gt;0, IF(AND(O158="NO", O159="NO"), "NO", "YES"), IF(L161&lt;&gt;0, IF(AND(O158="NO", O159="NO", O160="NO"), "NO", "YES"), IF(AND(O158="NO", O159="NO", O160="NO", O161="NO"), "NO", "YES"))))))</f>
        <v>NO</v>
      </c>
      <c r="Q158" s="25">
        <f>IF(L158=0,0,IF(L159&lt;&gt;0,N158,IF(L160&lt;&gt;0,N158+N159,IF(L161&lt;&gt;0,N158+N159+N160,IF(L162&lt;&gt;0,N158+N159+N160+N161,IF(L163&lt;&gt;0,N158+N159+N160+N161+N162,N158+N159+N160+N161+N162+N163))))))</f>
        <v>15</v>
      </c>
      <c r="R158" s="25">
        <f t="shared" ref="R158:R173" si="82">IF(OR(T158="ACC", T158="REP", T158="RS", T158="RT"), N158, 0)</f>
        <v>15</v>
      </c>
      <c r="S158" s="25">
        <f t="shared" ref="S158:S170" si="83">IF(L158=0, 0, IF(L159&lt;&gt;0, R158, IF(L160&lt;&gt;0, R158+R159, IF(L161&lt;&gt;0, R158+R159+R160, IF(L162&lt;&gt;0, R158+R159+R160+R161, IF(L163&lt;&gt;0, R158+R159+R160+R161+R162, R158+R159+R160+R161+R162+R163))))))</f>
        <v>15</v>
      </c>
      <c r="T158" s="12" t="s">
        <v>7</v>
      </c>
      <c r="U158" s="12" t="s">
        <v>35</v>
      </c>
      <c r="V158" s="25">
        <f t="shared" ref="V158:V173" si="84">IF(OR(S158=0, P158=FALSE), 0, IF(AND(Q158&gt;3*C158, Q158&gt;F158), "Segment Error", IF(OR(P158="YES", L158="Gap"), S158, IF(E158&lt;3, S158, IF(S158&gt;F158/2, F158, F158/2)))))</f>
        <v>15</v>
      </c>
      <c r="W158" s="10">
        <f>V158*2400000</f>
        <v>36000000</v>
      </c>
      <c r="Y158" s="1">
        <f t="shared" ref="Y158:Y171" si="85">IF(L158="FULL",IF(L159=0,IF(L160=0,IF(L161=0,IF(L162=0,5,4),3),2),1),IF(L158=0,Y157,1))</f>
        <v>1</v>
      </c>
    </row>
    <row r="159" spans="1:25" ht="15.75" outlineLevel="1" thickBot="1" x14ac:dyDescent="0.3">
      <c r="A159" s="12" t="s">
        <v>5</v>
      </c>
      <c r="B159" s="16"/>
      <c r="C159" s="30">
        <v>1</v>
      </c>
      <c r="D159" s="11">
        <v>10</v>
      </c>
      <c r="E159" s="11">
        <f t="shared" ref="E159:E173" si="86">IF(D159="4.5 C", 4.5, IF(D159="4.8 C", 4.8, D159))</f>
        <v>10</v>
      </c>
      <c r="F159" s="11">
        <f t="shared" si="78"/>
        <v>10</v>
      </c>
      <c r="G159" s="2">
        <f>VLOOKUP('930-4'!D159,Table1[],2,0)</f>
        <v>10.75</v>
      </c>
      <c r="H159" s="13">
        <f t="shared" ref="H159:H173" si="87">G159*3.14*2.54</f>
        <v>85.737700000000004</v>
      </c>
      <c r="I159" s="2">
        <f t="shared" ref="I159:I173" si="88">ROUNDUP(H159, 0)</f>
        <v>86</v>
      </c>
      <c r="J159" s="12">
        <v>4</v>
      </c>
      <c r="K159" s="12">
        <v>13</v>
      </c>
      <c r="L159" s="16" t="s">
        <v>13</v>
      </c>
      <c r="M159" s="14">
        <f t="shared" si="79"/>
        <v>10</v>
      </c>
      <c r="N159" s="15">
        <f t="shared" si="80"/>
        <v>10</v>
      </c>
      <c r="O159" s="15" t="str">
        <f t="shared" si="81"/>
        <v>NO</v>
      </c>
      <c r="P159" s="25" t="str">
        <f>IF(L159&lt;&gt;0, IF(L159="Gap", O159, IF(L160&lt;&gt;0,  IF(O159="NO", "NO", "YES"), IF(L161&lt;&gt;0, IF(AND(O159="NO", O160="NO"), "NO", "YES"), IF(L162&lt;&gt;0, IF(AND(O159="NO", O160="NO", O161="NO"), "NO", "YES"), IF(AND(O159="NO", O160="NO", O161="NO", O162="NO"), "NO", "YES"))))))</f>
        <v>NO</v>
      </c>
      <c r="Q159" s="25">
        <f t="shared" ref="Q159:Q170" si="89">IF(L159=0,0,IF(L160&lt;&gt;0,N159,IF(L161&lt;&gt;0,N159+N160,IF(L162&lt;&gt;0,N159+N160+N161,IF(L163&lt;&gt;0,N159+N160+N161+N162,IF(L164&lt;&gt;0,N159+N160+N161+N162+N163,N159+N160+N161+N162+N163+N164))))))</f>
        <v>10</v>
      </c>
      <c r="R159" s="25">
        <f t="shared" si="82"/>
        <v>10</v>
      </c>
      <c r="S159" s="25">
        <f t="shared" si="83"/>
        <v>10</v>
      </c>
      <c r="T159" s="12" t="s">
        <v>7</v>
      </c>
      <c r="U159" s="12" t="s">
        <v>35</v>
      </c>
      <c r="V159" s="25">
        <f t="shared" si="84"/>
        <v>10</v>
      </c>
      <c r="W159" s="10">
        <f t="shared" ref="W159:W173" si="90">V159*2400000</f>
        <v>24000000</v>
      </c>
      <c r="Y159" s="1">
        <f t="shared" si="85"/>
        <v>1</v>
      </c>
    </row>
    <row r="160" spans="1:25" ht="15.75" outlineLevel="1" thickBot="1" x14ac:dyDescent="0.3">
      <c r="A160" s="12" t="s">
        <v>5</v>
      </c>
      <c r="B160" s="16"/>
      <c r="C160" s="30">
        <v>3</v>
      </c>
      <c r="D160" s="11">
        <v>10</v>
      </c>
      <c r="E160" s="11">
        <f t="shared" si="86"/>
        <v>10</v>
      </c>
      <c r="F160" s="11">
        <f t="shared" si="78"/>
        <v>30</v>
      </c>
      <c r="G160" s="2">
        <f>VLOOKUP('930-4'!D160,Table1[],2,0)</f>
        <v>10.75</v>
      </c>
      <c r="H160" s="13">
        <f t="shared" si="87"/>
        <v>85.737700000000004</v>
      </c>
      <c r="I160" s="2">
        <f t="shared" si="88"/>
        <v>86</v>
      </c>
      <c r="J160" s="12">
        <v>4</v>
      </c>
      <c r="K160" s="12">
        <v>13</v>
      </c>
      <c r="L160" s="16" t="s">
        <v>13</v>
      </c>
      <c r="M160" s="14">
        <f t="shared" si="79"/>
        <v>30</v>
      </c>
      <c r="N160" s="15">
        <f t="shared" si="80"/>
        <v>30</v>
      </c>
      <c r="O160" s="15" t="str">
        <f t="shared" si="81"/>
        <v>YES</v>
      </c>
      <c r="P160" s="25" t="str">
        <f>IF(L160&lt;&gt;0, IF(L160="Gap", O160, IF(L161&lt;&gt;0,  IF(O160="NO", "NO", "YES"), IF(L162&lt;&gt;0, IF(AND(O160="NO", O161="NO"), "NO", "YES"), IF(L168&lt;&gt;0, IF(AND(O160="NO", O161="NO", O162="NO"), "NO", "YES"), IF(AND(O160="NO", O161="NO", O162="NO", O168="NO"), "NO", "YES"))))))</f>
        <v>YES</v>
      </c>
      <c r="Q160" s="25">
        <f t="shared" si="89"/>
        <v>30</v>
      </c>
      <c r="R160" s="25">
        <f t="shared" si="82"/>
        <v>0</v>
      </c>
      <c r="S160" s="25">
        <f t="shared" si="83"/>
        <v>0</v>
      </c>
      <c r="T160" s="12" t="s">
        <v>31</v>
      </c>
      <c r="U160" s="12" t="s">
        <v>35</v>
      </c>
      <c r="V160" s="25">
        <f t="shared" si="84"/>
        <v>0</v>
      </c>
      <c r="W160" s="10">
        <f t="shared" si="90"/>
        <v>0</v>
      </c>
      <c r="X160" s="33"/>
      <c r="Y160" s="1">
        <f t="shared" si="85"/>
        <v>1</v>
      </c>
    </row>
    <row r="161" spans="1:25" ht="15.75" outlineLevel="1" thickBot="1" x14ac:dyDescent="0.3">
      <c r="A161" s="12" t="s">
        <v>5</v>
      </c>
      <c r="B161" s="16"/>
      <c r="C161" s="30">
        <v>0</v>
      </c>
      <c r="D161" s="11">
        <v>3</v>
      </c>
      <c r="E161" s="11">
        <f t="shared" si="86"/>
        <v>3</v>
      </c>
      <c r="F161" s="11">
        <f t="shared" si="78"/>
        <v>0</v>
      </c>
      <c r="G161" s="2">
        <f>VLOOKUP('930-4'!D161,Table1[],2,0)</f>
        <v>3.5</v>
      </c>
      <c r="H161" s="13">
        <f t="shared" si="87"/>
        <v>27.9146</v>
      </c>
      <c r="I161" s="2">
        <f t="shared" si="88"/>
        <v>28</v>
      </c>
      <c r="J161" s="12">
        <v>20</v>
      </c>
      <c r="K161" s="12">
        <v>40</v>
      </c>
      <c r="L161" s="16" t="s">
        <v>13</v>
      </c>
      <c r="M161" s="14">
        <f t="shared" si="79"/>
        <v>0</v>
      </c>
      <c r="N161" s="15">
        <f t="shared" si="80"/>
        <v>0</v>
      </c>
      <c r="O161" s="15" t="str">
        <f t="shared" si="81"/>
        <v>NO</v>
      </c>
      <c r="P161" s="25" t="str">
        <f>IF(L161&lt;&gt;0, IF(L161="Gap", O161, IF(L162&lt;&gt;0,  IF(O161="NO", "NO", "YES"), IF(L168&lt;&gt;0, IF(AND(O161="NO", O162="NO"), "NO", "YES"), IF(L169&lt;&gt;0, IF(AND(O161="NO", O162="NO", O168="NO"), "NO", "YES"), IF(AND(O161="NO", O162="NO", O168="NO", O169="NO"), "NO", "YES"))))))</f>
        <v>NO</v>
      </c>
      <c r="Q161" s="25">
        <f t="shared" si="89"/>
        <v>0</v>
      </c>
      <c r="R161" s="25">
        <f t="shared" si="82"/>
        <v>0</v>
      </c>
      <c r="S161" s="25">
        <f t="shared" si="83"/>
        <v>0</v>
      </c>
      <c r="T161" s="12" t="s">
        <v>7</v>
      </c>
      <c r="U161" s="12" t="s">
        <v>35</v>
      </c>
      <c r="V161" s="25">
        <f t="shared" si="84"/>
        <v>0</v>
      </c>
      <c r="W161" s="10">
        <f t="shared" si="90"/>
        <v>0</v>
      </c>
      <c r="Y161" s="1">
        <f t="shared" si="85"/>
        <v>1</v>
      </c>
    </row>
    <row r="162" spans="1:25" ht="15.75" outlineLevel="1" thickBot="1" x14ac:dyDescent="0.3">
      <c r="A162" s="12" t="s">
        <v>5</v>
      </c>
      <c r="B162" s="16"/>
      <c r="C162" s="30">
        <v>0</v>
      </c>
      <c r="D162" s="11">
        <v>20</v>
      </c>
      <c r="E162" s="11">
        <f t="shared" si="86"/>
        <v>20</v>
      </c>
      <c r="F162" s="11">
        <f t="shared" si="78"/>
        <v>0</v>
      </c>
      <c r="G162" s="2">
        <f>VLOOKUP('930-4'!D162,Table1[],2,0)</f>
        <v>20</v>
      </c>
      <c r="H162" s="13">
        <f t="shared" si="87"/>
        <v>159.512</v>
      </c>
      <c r="I162" s="2">
        <f t="shared" si="88"/>
        <v>160</v>
      </c>
      <c r="J162" s="12">
        <v>65</v>
      </c>
      <c r="K162" s="12">
        <v>85</v>
      </c>
      <c r="L162" s="16" t="s">
        <v>13</v>
      </c>
      <c r="M162" s="14">
        <f t="shared" si="79"/>
        <v>0</v>
      </c>
      <c r="N162" s="15">
        <f t="shared" si="80"/>
        <v>0</v>
      </c>
      <c r="O162" s="15" t="str">
        <f t="shared" si="81"/>
        <v>NO</v>
      </c>
      <c r="P162" s="25" t="str">
        <f>IF(L162&lt;&gt;0, IF(L162="Gap", O162, IF(L168&lt;&gt;0,  IF(O162="NO", "NO", "YES"), IF(L169&lt;&gt;0, IF(AND(O162="NO", O168="NO"), "NO", "YES"), IF(L170&lt;&gt;0, IF(AND(O162="NO", O168="NO", O169="NO"), "NO", "YES"), IF(AND(O162="NO", O168="NO", O169="NO", O170="NO"), "NO", "YES"))))))</f>
        <v>NO</v>
      </c>
      <c r="Q162" s="25">
        <f t="shared" si="89"/>
        <v>0</v>
      </c>
      <c r="R162" s="25">
        <f t="shared" si="82"/>
        <v>0</v>
      </c>
      <c r="S162" s="25">
        <f t="shared" si="83"/>
        <v>0</v>
      </c>
      <c r="T162" s="12" t="s">
        <v>7</v>
      </c>
      <c r="U162" s="12" t="s">
        <v>35</v>
      </c>
      <c r="V162" s="25">
        <f t="shared" si="84"/>
        <v>0</v>
      </c>
      <c r="W162" s="10">
        <f t="shared" si="90"/>
        <v>0</v>
      </c>
      <c r="Y162" s="1">
        <f t="shared" si="85"/>
        <v>1</v>
      </c>
    </row>
    <row r="163" spans="1:25" ht="15.75" outlineLevel="1" thickBot="1" x14ac:dyDescent="0.3">
      <c r="A163" s="12" t="s">
        <v>5</v>
      </c>
      <c r="B163" s="32"/>
      <c r="C163" s="30">
        <v>0</v>
      </c>
      <c r="D163" s="11">
        <v>10</v>
      </c>
      <c r="E163" s="11">
        <f t="shared" si="86"/>
        <v>10</v>
      </c>
      <c r="F163" s="11">
        <f t="shared" si="78"/>
        <v>0</v>
      </c>
      <c r="G163" s="2">
        <f>VLOOKUP('930-4'!D163,Table1[],2,0)</f>
        <v>10.75</v>
      </c>
      <c r="H163" s="13">
        <f t="shared" si="87"/>
        <v>85.737700000000004</v>
      </c>
      <c r="I163" s="2">
        <f t="shared" si="88"/>
        <v>86</v>
      </c>
      <c r="J163" s="12">
        <v>40</v>
      </c>
      <c r="K163" s="12">
        <v>125</v>
      </c>
      <c r="L163" s="16" t="s">
        <v>13</v>
      </c>
      <c r="M163" s="14">
        <f t="shared" si="79"/>
        <v>0</v>
      </c>
      <c r="N163" s="15">
        <f t="shared" si="80"/>
        <v>0</v>
      </c>
      <c r="O163" s="15" t="str">
        <f t="shared" si="81"/>
        <v>NO</v>
      </c>
      <c r="P163" s="25" t="str">
        <f>IF(L163&lt;&gt;0, IF(L163="Gap", O163, IF(L164&lt;&gt;0,  IF(O163="NO", "NO", "YES"), IF(L165&lt;&gt;0, IF(AND(O163="NO", O164="NO"), "NO", "YES"), IF(L166&lt;&gt;0, IF(AND(O163="NO", O164="NO", O165="NO"), "NO", "YES"), IF(AND(O163="NO", O164="NO", O165="NO", O166="NO"), "NO", "YES"))))))</f>
        <v>NO</v>
      </c>
      <c r="Q163" s="25">
        <f t="shared" si="89"/>
        <v>0</v>
      </c>
      <c r="R163" s="25">
        <f t="shared" si="82"/>
        <v>0</v>
      </c>
      <c r="S163" s="25">
        <f t="shared" si="83"/>
        <v>0</v>
      </c>
      <c r="T163" s="12" t="s">
        <v>7</v>
      </c>
      <c r="U163" s="12" t="s">
        <v>35</v>
      </c>
      <c r="V163" s="25">
        <f t="shared" si="84"/>
        <v>0</v>
      </c>
      <c r="W163" s="10">
        <f t="shared" si="90"/>
        <v>0</v>
      </c>
      <c r="Y163" s="1">
        <f t="shared" si="85"/>
        <v>1</v>
      </c>
    </row>
    <row r="164" spans="1:25" ht="15.75" outlineLevel="1" thickBot="1" x14ac:dyDescent="0.3">
      <c r="A164" s="12" t="s">
        <v>5</v>
      </c>
      <c r="B164" s="16"/>
      <c r="C164" s="30">
        <v>0</v>
      </c>
      <c r="D164" s="11">
        <v>6</v>
      </c>
      <c r="E164" s="11">
        <f t="shared" si="86"/>
        <v>6</v>
      </c>
      <c r="F164" s="11">
        <f t="shared" si="78"/>
        <v>6</v>
      </c>
      <c r="G164" s="2">
        <f>VLOOKUP('930-4'!D164,Table1[],2,0)</f>
        <v>6.625</v>
      </c>
      <c r="H164" s="13">
        <f t="shared" si="87"/>
        <v>52.838350000000005</v>
      </c>
      <c r="I164" s="2">
        <f t="shared" si="88"/>
        <v>53</v>
      </c>
      <c r="J164" s="12">
        <v>40</v>
      </c>
      <c r="K164" s="12">
        <v>125</v>
      </c>
      <c r="L164" s="16" t="s">
        <v>34</v>
      </c>
      <c r="M164" s="14">
        <f t="shared" si="79"/>
        <v>0</v>
      </c>
      <c r="N164" s="15">
        <f t="shared" si="80"/>
        <v>0</v>
      </c>
      <c r="O164" s="15" t="str">
        <f t="shared" si="81"/>
        <v>NO</v>
      </c>
      <c r="P164" s="25" t="str">
        <f>IF(L164&lt;&gt;0, IF(L164="Gap", O164, IF(L165&lt;&gt;0,  IF(O164="NO", "NO", "YES"), IF(L166&lt;&gt;0, IF(AND(O164="NO", O165="NO"), "NO", "YES"), IF(L168&lt;&gt;0, IF(AND(O164="NO", O165="NO", O166="NO"), "NO", "YES"), IF(AND(O164="NO", O165="NO", O166="NO", O168="NO"), "NO", "YES"))))))</f>
        <v>NO</v>
      </c>
      <c r="Q164" s="25">
        <f t="shared" si="89"/>
        <v>0</v>
      </c>
      <c r="R164" s="25">
        <f t="shared" si="82"/>
        <v>0</v>
      </c>
      <c r="S164" s="25">
        <f t="shared" si="83"/>
        <v>0</v>
      </c>
      <c r="T164" s="12" t="s">
        <v>7</v>
      </c>
      <c r="U164" s="12" t="s">
        <v>35</v>
      </c>
      <c r="V164" s="25">
        <f t="shared" si="84"/>
        <v>0</v>
      </c>
      <c r="W164" s="10">
        <f t="shared" si="90"/>
        <v>0</v>
      </c>
      <c r="Y164" s="1">
        <f t="shared" si="85"/>
        <v>1</v>
      </c>
    </row>
    <row r="165" spans="1:25" ht="15.75" outlineLevel="1" thickBot="1" x14ac:dyDescent="0.3">
      <c r="A165" s="12" t="s">
        <v>5</v>
      </c>
      <c r="B165" s="16"/>
      <c r="C165" s="30">
        <v>0</v>
      </c>
      <c r="D165" s="11">
        <v>18</v>
      </c>
      <c r="E165" s="11">
        <f t="shared" si="86"/>
        <v>18</v>
      </c>
      <c r="F165" s="11">
        <f t="shared" si="78"/>
        <v>18</v>
      </c>
      <c r="G165" s="2">
        <f>VLOOKUP('930-4'!D165,Table1[],2,0)</f>
        <v>18</v>
      </c>
      <c r="H165" s="13">
        <f t="shared" si="87"/>
        <v>143.5608</v>
      </c>
      <c r="I165" s="2">
        <f t="shared" si="88"/>
        <v>144</v>
      </c>
      <c r="J165" s="12">
        <v>40</v>
      </c>
      <c r="K165" s="12">
        <v>45</v>
      </c>
      <c r="L165" s="34" t="s">
        <v>34</v>
      </c>
      <c r="M165" s="14">
        <f t="shared" si="79"/>
        <v>0</v>
      </c>
      <c r="N165" s="15">
        <f t="shared" si="80"/>
        <v>0</v>
      </c>
      <c r="O165" s="15" t="str">
        <f t="shared" si="81"/>
        <v>NO</v>
      </c>
      <c r="P165" s="25" t="str">
        <f>IF(L165&lt;&gt;0, IF(L165="Gap", O165, IF(L166&lt;&gt;0,  IF(O165="NO", "NO", "YES"), IF(L168&lt;&gt;0, IF(AND(O165="NO", O166="NO"), "NO", "YES"), IF(L169&lt;&gt;0, IF(AND(O165="NO", O166="NO", O168="NO"), "NO", "YES"), IF(AND(O165="NO", O166="NO", O168="NO", O169="NO"), "NO", "YES"))))))</f>
        <v>NO</v>
      </c>
      <c r="Q165" s="25">
        <f t="shared" si="89"/>
        <v>0</v>
      </c>
      <c r="R165" s="25">
        <f t="shared" si="82"/>
        <v>0</v>
      </c>
      <c r="S165" s="25">
        <f t="shared" si="83"/>
        <v>0</v>
      </c>
      <c r="T165" s="12" t="s">
        <v>7</v>
      </c>
      <c r="U165" s="12" t="s">
        <v>35</v>
      </c>
      <c r="V165" s="25">
        <f t="shared" si="84"/>
        <v>0</v>
      </c>
      <c r="W165" s="10">
        <f t="shared" si="90"/>
        <v>0</v>
      </c>
      <c r="Y165" s="1">
        <f t="shared" si="85"/>
        <v>1</v>
      </c>
    </row>
    <row r="166" spans="1:25" ht="15.75" outlineLevel="1" thickBot="1" x14ac:dyDescent="0.3">
      <c r="A166" s="16" t="s">
        <v>5</v>
      </c>
      <c r="B166" s="16"/>
      <c r="C166" s="30">
        <v>0</v>
      </c>
      <c r="D166" s="17">
        <v>18</v>
      </c>
      <c r="E166" s="11">
        <f t="shared" si="86"/>
        <v>18</v>
      </c>
      <c r="F166" s="11">
        <f t="shared" si="78"/>
        <v>18</v>
      </c>
      <c r="G166" s="2">
        <f>VLOOKUP('930-4'!D166,Table1[],2,0)</f>
        <v>18</v>
      </c>
      <c r="H166" s="19">
        <f t="shared" si="87"/>
        <v>143.5608</v>
      </c>
      <c r="I166" s="18">
        <f t="shared" si="88"/>
        <v>144</v>
      </c>
      <c r="J166" s="12">
        <v>40</v>
      </c>
      <c r="K166" s="12">
        <v>10</v>
      </c>
      <c r="L166" s="35"/>
      <c r="M166" s="14">
        <f t="shared" si="79"/>
        <v>0</v>
      </c>
      <c r="N166" s="15">
        <f t="shared" si="80"/>
        <v>0</v>
      </c>
      <c r="O166" s="15" t="str">
        <f t="shared" si="81"/>
        <v>NO</v>
      </c>
      <c r="P166" s="25" t="b">
        <f>IF(L166&lt;&gt;0, IF(L166="Gap", O166, IF(L168&lt;&gt;0,  IF(O166="NO", "NO", "YES"), IF(L169&lt;&gt;0, IF(AND(O166="NO", O168="NO"), "NO", "YES"), IF(L170&lt;&gt;0, IF(AND(O166="NO", O168="NO", O169="NO"), "NO", "YES"), IF(AND(O166="NO", O168="NO", O169="NO", O170="NO"), "NO", "YES"))))))</f>
        <v>0</v>
      </c>
      <c r="Q166" s="25">
        <f t="shared" si="89"/>
        <v>0</v>
      </c>
      <c r="R166" s="25">
        <f t="shared" si="82"/>
        <v>0</v>
      </c>
      <c r="S166" s="25">
        <f t="shared" si="83"/>
        <v>0</v>
      </c>
      <c r="T166" s="12" t="s">
        <v>7</v>
      </c>
      <c r="U166" s="12" t="s">
        <v>35</v>
      </c>
      <c r="V166" s="25">
        <f t="shared" si="84"/>
        <v>0</v>
      </c>
      <c r="W166" s="10">
        <f t="shared" si="90"/>
        <v>0</v>
      </c>
      <c r="Y166" s="1">
        <f t="shared" si="85"/>
        <v>1</v>
      </c>
    </row>
    <row r="167" spans="1:25" ht="15.75" outlineLevel="1" thickBot="1" x14ac:dyDescent="0.3">
      <c r="A167" s="12" t="s">
        <v>5</v>
      </c>
      <c r="B167" s="16"/>
      <c r="C167" s="30">
        <v>0</v>
      </c>
      <c r="D167" s="11">
        <v>10</v>
      </c>
      <c r="E167" s="11">
        <f t="shared" si="86"/>
        <v>10</v>
      </c>
      <c r="F167" s="11">
        <f t="shared" si="78"/>
        <v>0</v>
      </c>
      <c r="G167" s="2">
        <f>VLOOKUP('930-4'!D167,Table1[],2,0)</f>
        <v>10.75</v>
      </c>
      <c r="H167" s="13">
        <f t="shared" si="87"/>
        <v>85.737700000000004</v>
      </c>
      <c r="I167" s="2">
        <f t="shared" si="88"/>
        <v>86</v>
      </c>
      <c r="J167" s="12">
        <v>40</v>
      </c>
      <c r="K167" s="12">
        <v>35</v>
      </c>
      <c r="L167" s="16" t="s">
        <v>13</v>
      </c>
      <c r="M167" s="14">
        <f t="shared" si="79"/>
        <v>0</v>
      </c>
      <c r="N167" s="15">
        <f t="shared" si="80"/>
        <v>0</v>
      </c>
      <c r="O167" s="15" t="str">
        <f t="shared" si="81"/>
        <v>NO</v>
      </c>
      <c r="P167" s="25" t="str">
        <f>IF(L167&lt;&gt;0, IF(L167="Gap", O167, IF(L173&lt;&gt;0,  IF(O167="NO", "NO", "YES"), IF(L174&lt;&gt;0, IF(AND(O167="NO", O173="NO"), "NO", "YES"), IF(L175&lt;&gt;0, IF(AND(O167="NO", O173="NO", O174="NO"), "NO", "YES"), IF(AND(O167="NO", O173="NO", O174="NO", O175="NO"), "NO", "YES"))))))</f>
        <v>NO</v>
      </c>
      <c r="Q167" s="25">
        <f t="shared" si="89"/>
        <v>0</v>
      </c>
      <c r="R167" s="25">
        <f t="shared" si="82"/>
        <v>0</v>
      </c>
      <c r="S167" s="25">
        <f t="shared" si="83"/>
        <v>0</v>
      </c>
      <c r="T167" s="12" t="s">
        <v>7</v>
      </c>
      <c r="U167" s="12" t="s">
        <v>35</v>
      </c>
      <c r="V167" s="25">
        <f t="shared" si="84"/>
        <v>0</v>
      </c>
      <c r="W167" s="10">
        <f t="shared" si="90"/>
        <v>0</v>
      </c>
      <c r="Y167" s="1">
        <f t="shared" si="85"/>
        <v>1</v>
      </c>
    </row>
    <row r="168" spans="1:25" ht="15.75" outlineLevel="1" thickBot="1" x14ac:dyDescent="0.3">
      <c r="A168" s="12" t="s">
        <v>5</v>
      </c>
      <c r="B168" s="32"/>
      <c r="C168" s="30">
        <v>0</v>
      </c>
      <c r="D168" s="11">
        <v>10</v>
      </c>
      <c r="E168" s="11">
        <f t="shared" si="86"/>
        <v>10</v>
      </c>
      <c r="F168" s="11">
        <f t="shared" si="78"/>
        <v>10</v>
      </c>
      <c r="G168" s="2">
        <f>VLOOKUP('930-4'!D168,Table1[],2,0)</f>
        <v>10.75</v>
      </c>
      <c r="H168" s="13">
        <f t="shared" si="87"/>
        <v>85.737700000000004</v>
      </c>
      <c r="I168" s="2">
        <f t="shared" si="88"/>
        <v>86</v>
      </c>
      <c r="J168" s="12">
        <v>40</v>
      </c>
      <c r="K168" s="12">
        <v>50</v>
      </c>
      <c r="L168" s="34" t="s">
        <v>34</v>
      </c>
      <c r="M168" s="14">
        <f t="shared" si="79"/>
        <v>0</v>
      </c>
      <c r="N168" s="15">
        <f t="shared" si="80"/>
        <v>0</v>
      </c>
      <c r="O168" s="15" t="str">
        <f t="shared" si="81"/>
        <v>NO</v>
      </c>
      <c r="P168" s="25" t="str">
        <f>IF(L168&lt;&gt;0, IF(L168="Gap", O168, IF(L169&lt;&gt;0,  IF(O168="NO", "NO", "YES"), IF(L170&lt;&gt;0, IF(AND(O168="NO", O169="NO"), "NO", "YES"), IF(L171&lt;&gt;0, IF(AND(O168="NO", O169="NO", O170="NO"), "NO", "YES"), IF(AND(O168="NO", O169="NO", O170="NO", O171="NO"), "NO", "YES"))))))</f>
        <v>NO</v>
      </c>
      <c r="Q168" s="25">
        <f t="shared" si="89"/>
        <v>0</v>
      </c>
      <c r="R168" s="25">
        <f t="shared" si="82"/>
        <v>0</v>
      </c>
      <c r="S168" s="25">
        <f t="shared" si="83"/>
        <v>0</v>
      </c>
      <c r="T168" s="12" t="s">
        <v>7</v>
      </c>
      <c r="U168" s="12" t="s">
        <v>35</v>
      </c>
      <c r="V168" s="25">
        <f t="shared" si="84"/>
        <v>0</v>
      </c>
      <c r="W168" s="10">
        <f t="shared" si="90"/>
        <v>0</v>
      </c>
      <c r="Y168" s="1">
        <f t="shared" si="85"/>
        <v>1</v>
      </c>
    </row>
    <row r="169" spans="1:25" ht="15.75" outlineLevel="1" thickBot="1" x14ac:dyDescent="0.3">
      <c r="A169" s="12" t="s">
        <v>5</v>
      </c>
      <c r="B169" s="16"/>
      <c r="C169" s="30">
        <v>0</v>
      </c>
      <c r="D169" s="11">
        <v>10</v>
      </c>
      <c r="E169" s="11">
        <f t="shared" si="86"/>
        <v>10</v>
      </c>
      <c r="F169" s="11">
        <f t="shared" si="78"/>
        <v>10</v>
      </c>
      <c r="G169" s="2">
        <f>VLOOKUP('930-4'!D169,Table1[],2,0)</f>
        <v>10.75</v>
      </c>
      <c r="H169" s="13">
        <f t="shared" si="87"/>
        <v>85.737700000000004</v>
      </c>
      <c r="I169" s="2">
        <f t="shared" si="88"/>
        <v>86</v>
      </c>
      <c r="J169" s="12">
        <v>40</v>
      </c>
      <c r="K169" s="12">
        <v>80</v>
      </c>
      <c r="L169" s="35"/>
      <c r="M169" s="14">
        <f t="shared" si="79"/>
        <v>0</v>
      </c>
      <c r="N169" s="15">
        <f t="shared" si="80"/>
        <v>0</v>
      </c>
      <c r="O169" s="15" t="str">
        <f t="shared" si="81"/>
        <v>NO</v>
      </c>
      <c r="P169" s="25" t="b">
        <f>IF(L169&lt;&gt;0, IF(L169="Gap", O169, IF(L170&lt;&gt;0,  IF(O169="NO", "NO", "YES"), IF(L171&lt;&gt;0, IF(AND(O169="NO", O170="NO"), "NO", "YES"), IF(L173&lt;&gt;0, IF(AND(O169="NO", O170="NO", O171="NO"), "NO", "YES"), IF(AND(O169="NO", O170="NO", O171="NO", O173="NO"), "NO", "YES"))))))</f>
        <v>0</v>
      </c>
      <c r="Q169" s="25">
        <f t="shared" si="89"/>
        <v>0</v>
      </c>
      <c r="R169" s="25">
        <f t="shared" si="82"/>
        <v>0</v>
      </c>
      <c r="S169" s="25">
        <f t="shared" si="83"/>
        <v>0</v>
      </c>
      <c r="T169" s="12" t="s">
        <v>7</v>
      </c>
      <c r="U169" s="12" t="s">
        <v>35</v>
      </c>
      <c r="V169" s="25">
        <f t="shared" si="84"/>
        <v>0</v>
      </c>
      <c r="W169" s="10">
        <f t="shared" si="90"/>
        <v>0</v>
      </c>
      <c r="Y169" s="1">
        <f t="shared" si="85"/>
        <v>1</v>
      </c>
    </row>
    <row r="170" spans="1:25" ht="15.75" outlineLevel="1" thickBot="1" x14ac:dyDescent="0.3">
      <c r="A170" s="12" t="s">
        <v>5</v>
      </c>
      <c r="B170" s="16"/>
      <c r="C170" s="30">
        <v>0</v>
      </c>
      <c r="D170" s="11">
        <v>10</v>
      </c>
      <c r="E170" s="11">
        <f t="shared" si="86"/>
        <v>10</v>
      </c>
      <c r="F170" s="11">
        <f t="shared" si="78"/>
        <v>10</v>
      </c>
      <c r="G170" s="2">
        <f>VLOOKUP('930-4'!D170,Table1[],2,0)</f>
        <v>10.75</v>
      </c>
      <c r="H170" s="13">
        <f t="shared" si="87"/>
        <v>85.737700000000004</v>
      </c>
      <c r="I170" s="2">
        <f t="shared" si="88"/>
        <v>86</v>
      </c>
      <c r="J170" s="12">
        <v>40</v>
      </c>
      <c r="K170" s="12">
        <v>55</v>
      </c>
      <c r="L170" s="34" t="s">
        <v>34</v>
      </c>
      <c r="M170" s="14">
        <f t="shared" si="79"/>
        <v>0</v>
      </c>
      <c r="N170" s="15">
        <f t="shared" si="80"/>
        <v>0</v>
      </c>
      <c r="O170" s="15" t="str">
        <f t="shared" si="81"/>
        <v>NO</v>
      </c>
      <c r="P170" s="25" t="str">
        <f>IF(L170&lt;&gt;0, IF(L170="Gap", O170, IF(L171&lt;&gt;0,  IF(O170="NO", "NO", "YES"), IF(L173&lt;&gt;0, IF(AND(O170="NO", O171="NO"), "NO", "YES"), IF(L174&lt;&gt;0, IF(AND(O170="NO", O171="NO", O173="NO"), "NO", "YES"), IF(AND(O170="NO", O171="NO", O173="NO", O174="NO"), "NO", "YES"))))))</f>
        <v>NO</v>
      </c>
      <c r="Q170" s="25">
        <f t="shared" si="89"/>
        <v>0</v>
      </c>
      <c r="R170" s="25">
        <f t="shared" si="82"/>
        <v>0</v>
      </c>
      <c r="S170" s="25">
        <f t="shared" si="83"/>
        <v>0</v>
      </c>
      <c r="T170" s="12" t="s">
        <v>7</v>
      </c>
      <c r="U170" s="12" t="s">
        <v>35</v>
      </c>
      <c r="V170" s="25">
        <f t="shared" si="84"/>
        <v>0</v>
      </c>
      <c r="W170" s="10">
        <f t="shared" si="90"/>
        <v>0</v>
      </c>
      <c r="Y170" s="1">
        <f t="shared" si="85"/>
        <v>1</v>
      </c>
    </row>
    <row r="171" spans="1:25" ht="15.75" outlineLevel="1" thickBot="1" x14ac:dyDescent="0.3">
      <c r="A171" s="16" t="s">
        <v>5</v>
      </c>
      <c r="B171" s="16"/>
      <c r="C171" s="30">
        <v>0</v>
      </c>
      <c r="D171" s="17">
        <v>10</v>
      </c>
      <c r="E171" s="11">
        <f t="shared" si="86"/>
        <v>10</v>
      </c>
      <c r="F171" s="11">
        <f t="shared" si="78"/>
        <v>10</v>
      </c>
      <c r="G171" s="2">
        <f>VLOOKUP('930-4'!D171,Table1[],2,0)</f>
        <v>10.75</v>
      </c>
      <c r="H171" s="19">
        <f t="shared" si="87"/>
        <v>85.737700000000004</v>
      </c>
      <c r="I171" s="18">
        <f t="shared" si="88"/>
        <v>86</v>
      </c>
      <c r="J171" s="12">
        <v>40</v>
      </c>
      <c r="K171" s="12">
        <v>75</v>
      </c>
      <c r="L171" s="35"/>
      <c r="M171" s="14">
        <f t="shared" si="79"/>
        <v>0</v>
      </c>
      <c r="N171" s="15">
        <f t="shared" si="80"/>
        <v>0</v>
      </c>
      <c r="O171" s="15" t="str">
        <f t="shared" si="81"/>
        <v>NO</v>
      </c>
      <c r="P171" s="25" t="b">
        <f>IF(L171&lt;&gt;0, IF(L171="Gap", O171, IF(L173&lt;&gt;0,  IF(O171="NO", "NO", "YES"), IF(L174&lt;&gt;0, IF(AND(O171="NO", O173="NO"), "NO", "YES"), IF(L175&lt;&gt;0, IF(AND(O171="NO", O173="NO", O174="NO"), "NO", "YES"), IF(AND(O171="NO", O173="NO", O174="NO", O175="NO"), "NO", "YES"))))))</f>
        <v>0</v>
      </c>
      <c r="Q171" s="25">
        <f>IF(L171=0,0,IF(L172&lt;&gt;0,N171,IF(L173&lt;&gt;0,N171+N172,IF(L174&lt;&gt;0,N171+N172+N173,IF(L175&lt;&gt;0,N171+N172+N173+N174,IF(#REF!&lt;&gt;0,N171+N172+N173+N174+N175,N171+N172+N173+N174+N175+#REF!))))))</f>
        <v>0</v>
      </c>
      <c r="R171" s="25">
        <f t="shared" si="82"/>
        <v>0</v>
      </c>
      <c r="S171" s="25">
        <f>IF(L171=0, 0, IF(L172&lt;&gt;0, R171, IF(L173&lt;&gt;0, R171+R172, IF(L174&lt;&gt;0, R171+R172+R173, IF(L175&lt;&gt;0, R171+R172+R173+R174, IF(#REF!&lt;&gt;0, R171+R172+R173+R174+R175, R171+R172+R173+R174+R175+#REF!))))))</f>
        <v>0</v>
      </c>
      <c r="T171" s="12" t="s">
        <v>7</v>
      </c>
      <c r="U171" s="12" t="s">
        <v>35</v>
      </c>
      <c r="V171" s="25">
        <f t="shared" si="84"/>
        <v>0</v>
      </c>
      <c r="W171" s="10">
        <f t="shared" si="90"/>
        <v>0</v>
      </c>
      <c r="Y171" s="1">
        <f t="shared" si="85"/>
        <v>1</v>
      </c>
    </row>
    <row r="172" spans="1:25" ht="15.75" outlineLevel="1" thickBot="1" x14ac:dyDescent="0.3">
      <c r="A172" s="16"/>
      <c r="B172" s="16"/>
      <c r="C172" s="30">
        <v>0</v>
      </c>
      <c r="D172" s="17">
        <v>10</v>
      </c>
      <c r="E172" s="11">
        <f t="shared" si="86"/>
        <v>10</v>
      </c>
      <c r="F172" s="11">
        <f t="shared" si="78"/>
        <v>0</v>
      </c>
      <c r="G172" s="2">
        <f>VLOOKUP('930-4'!D172,Table1[],2,0)</f>
        <v>10.75</v>
      </c>
      <c r="H172" s="19">
        <f t="shared" si="87"/>
        <v>85.737700000000004</v>
      </c>
      <c r="I172" s="18">
        <f t="shared" si="88"/>
        <v>86</v>
      </c>
      <c r="J172" s="12">
        <v>40</v>
      </c>
      <c r="K172" s="12">
        <v>45</v>
      </c>
      <c r="L172" s="16" t="s">
        <v>13</v>
      </c>
      <c r="M172" s="14">
        <f t="shared" si="79"/>
        <v>0</v>
      </c>
      <c r="N172" s="15">
        <f t="shared" si="80"/>
        <v>0</v>
      </c>
      <c r="O172" s="15" t="str">
        <f t="shared" si="81"/>
        <v>NO</v>
      </c>
      <c r="P172" s="25" t="str">
        <f>IF(L172&lt;&gt;0, IF(L172="Gap", O172, IF(L173&lt;&gt;0,  IF(O172="NO", "NO", "YES"), IF(L174&lt;&gt;0, IF(AND(O172="NO", O173="NO"), "NO", "YES"), IF(L175&lt;&gt;0, IF(AND(O172="NO", O173="NO", O174="NO"), "NO", "YES"), IF(AND(O172="NO", O173="NO", O174="NO", O175="NO"), "NO", "YES"))))))</f>
        <v>NO</v>
      </c>
      <c r="Q172" s="25">
        <f>IF(L172=0,0,IF(L173&lt;&gt;0,N172,IF(L174&lt;&gt;0,N172+N173,IF(L175&lt;&gt;0,N172+N173+N174,IF(#REF!&lt;&gt;0,N172+N173+N174+N175,IF(#REF!&lt;&gt;0,N172+N173+N174+N175+#REF!,N172+N173+N174+N175+#REF!+#REF!))))))</f>
        <v>0</v>
      </c>
      <c r="R172" s="25">
        <f t="shared" si="82"/>
        <v>0</v>
      </c>
      <c r="S172" s="25">
        <f>IF(L172=0, 0, IF(L173&lt;&gt;0, R172, IF(L174&lt;&gt;0, R172+R173, IF(L175&lt;&gt;0, R172+R173+R174, IF(#REF!&lt;&gt;0, R172+R173+R174+R175, IF(#REF!&lt;&gt;0, R172+R173+R174+R175+#REF!, R172+R173+R174+R175+#REF!+#REF!))))))</f>
        <v>0</v>
      </c>
      <c r="T172" s="12" t="s">
        <v>7</v>
      </c>
      <c r="U172" s="12" t="s">
        <v>35</v>
      </c>
      <c r="V172" s="25">
        <f t="shared" si="84"/>
        <v>0</v>
      </c>
      <c r="W172" s="10">
        <f t="shared" si="90"/>
        <v>0</v>
      </c>
      <c r="Y172" s="1">
        <f>IF(L172="FULL",IF(L173=0,IF(L174=0,IF(L175=0,IF(#REF!=0,5,4),3),2),1),IF(L172=0,Y171,1))</f>
        <v>1</v>
      </c>
    </row>
    <row r="173" spans="1:25" outlineLevel="1" x14ac:dyDescent="0.25">
      <c r="A173" s="16"/>
      <c r="B173" s="16"/>
      <c r="C173" s="30">
        <v>0</v>
      </c>
      <c r="D173" s="17">
        <v>2</v>
      </c>
      <c r="E173" s="11">
        <f t="shared" si="86"/>
        <v>2</v>
      </c>
      <c r="F173" s="11">
        <f t="shared" si="78"/>
        <v>0</v>
      </c>
      <c r="G173" s="2">
        <f>VLOOKUP('930-4'!D173,Table1[],2,0)</f>
        <v>2.375</v>
      </c>
      <c r="H173" s="19">
        <f t="shared" si="87"/>
        <v>18.942050000000002</v>
      </c>
      <c r="I173" s="18">
        <f t="shared" si="88"/>
        <v>19</v>
      </c>
      <c r="J173" s="12">
        <v>40</v>
      </c>
      <c r="K173" s="12">
        <v>45</v>
      </c>
      <c r="L173" s="16" t="s">
        <v>13</v>
      </c>
      <c r="M173" s="14">
        <f t="shared" si="79"/>
        <v>0</v>
      </c>
      <c r="N173" s="15">
        <f t="shared" si="80"/>
        <v>0</v>
      </c>
      <c r="O173" s="15" t="str">
        <f t="shared" si="81"/>
        <v>NO</v>
      </c>
      <c r="P173" s="25" t="str">
        <f>IF(L173&lt;&gt;0, IF(L173="Gap", O173, IF(L174&lt;&gt;0,  IF(O173="NO", "NO", "YES"), IF(L175&lt;&gt;0, IF(AND(O173="NO", O174="NO"), "NO", "YES"), IF(#REF!&lt;&gt;0, IF(AND(O173="NO", O174="NO", O175="NO"), "NO", "YES"), IF(AND(O173="NO", O174="NO", O175="NO",#REF!= "NO"), "NO", "YES"))))))</f>
        <v>NO</v>
      </c>
      <c r="Q173" s="25">
        <f>IF(L173=0,0,IF(L174&lt;&gt;0,N173,IF(L175&lt;&gt;0,N173+N174,IF(#REF!&lt;&gt;0,N173+N174+N175,IF(#REF!&lt;&gt;0,N173+N174+N175+#REF!,IF(#REF!&lt;&gt;0,N173+N174+N175+#REF!+#REF!,N173+N174+N175+#REF!+#REF!+#REF!))))))</f>
        <v>0</v>
      </c>
      <c r="R173" s="25">
        <f t="shared" si="82"/>
        <v>0</v>
      </c>
      <c r="S173" s="25">
        <f>IF(L173=0, 0, IF(L174&lt;&gt;0, R173, IF(L175&lt;&gt;0, R173+R174, IF(#REF!&lt;&gt;0, R173+R174+R175, IF(#REF!&lt;&gt;0, R173+R174+R175+#REF!, IF(#REF!&lt;&gt;0, R173+R174+R175+#REF!+#REF!, R173+R174+R175+#REF!+#REF!+#REF!))))))</f>
        <v>0</v>
      </c>
      <c r="T173" s="12" t="s">
        <v>7</v>
      </c>
      <c r="U173" s="12" t="s">
        <v>35</v>
      </c>
      <c r="V173" s="25">
        <f t="shared" si="84"/>
        <v>0</v>
      </c>
      <c r="W173" s="10">
        <f t="shared" si="90"/>
        <v>0</v>
      </c>
      <c r="Y173" s="1">
        <f>IF(L173="FULL",IF(L174=0,IF(L175=0,IF(#REF!=0,IF(#REF!=0,5,4),3),2),1),IF(L173=0,Y172,1))</f>
        <v>1</v>
      </c>
    </row>
    <row r="174" spans="1:25" ht="15" customHeight="1" outlineLevel="1" x14ac:dyDescent="0.25">
      <c r="A174" s="29" t="s">
        <v>20</v>
      </c>
      <c r="B174" s="29" t="s">
        <v>20</v>
      </c>
      <c r="C174" s="29" t="s">
        <v>20</v>
      </c>
      <c r="D174" s="29" t="s">
        <v>20</v>
      </c>
      <c r="E174" s="29" t="s">
        <v>20</v>
      </c>
      <c r="F174" s="29"/>
      <c r="G174" s="29" t="s">
        <v>20</v>
      </c>
      <c r="H174" s="29" t="s">
        <v>20</v>
      </c>
      <c r="I174" s="29" t="s">
        <v>20</v>
      </c>
      <c r="J174" s="29" t="s">
        <v>20</v>
      </c>
      <c r="K174" s="29" t="s">
        <v>20</v>
      </c>
      <c r="L174" s="29" t="s">
        <v>20</v>
      </c>
      <c r="M174" s="29" t="s">
        <v>20</v>
      </c>
      <c r="N174" s="29" t="s">
        <v>20</v>
      </c>
      <c r="O174" s="29" t="s">
        <v>20</v>
      </c>
      <c r="P174" s="29" t="s">
        <v>20</v>
      </c>
      <c r="Q174" s="29" t="s">
        <v>20</v>
      </c>
      <c r="R174" s="29" t="s">
        <v>20</v>
      </c>
      <c r="S174" s="29" t="s">
        <v>20</v>
      </c>
      <c r="T174" s="29" t="s">
        <v>20</v>
      </c>
      <c r="U174" s="29" t="s">
        <v>20</v>
      </c>
      <c r="V174" s="29" t="s">
        <v>20</v>
      </c>
      <c r="W174" s="29" t="s">
        <v>20</v>
      </c>
      <c r="Y174" s="1">
        <f>IF(L174="FULL",IF(L175=0,IF(#REF!=0,IF(#REF!=0,IF(#REF!=0,5,4),3),2),1),IF(L174=0,Y173,1))</f>
        <v>1</v>
      </c>
    </row>
    <row r="175" spans="1:25" ht="15.75" thickBot="1" x14ac:dyDescent="0.3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21"/>
      <c r="N175" s="21"/>
      <c r="O175" s="21"/>
      <c r="P175" s="21"/>
      <c r="Q175" s="31">
        <f>SUM(Q158:Q173)</f>
        <v>55</v>
      </c>
      <c r="R175" s="31"/>
      <c r="S175" s="31">
        <f>SUM(R158:R173)</f>
        <v>25</v>
      </c>
      <c r="T175" s="31"/>
      <c r="U175" s="20"/>
      <c r="V175" s="21">
        <f>IF(COUNTIF(V158:V173,  "Segment Error")=0, IF(AND(SUM(V158:V173)&lt;50, COUNTIF(P158:P173, "YES")=0), 50, SUM(V158:V173)), "Segment Error")</f>
        <v>25</v>
      </c>
      <c r="W175" s="22">
        <f>V175*2400000</f>
        <v>60000000</v>
      </c>
      <c r="Y175" s="1">
        <f>IF(L175="FULL",IF(#REF!=0,IF(#REF!=0,IF(#REF!=0,IF(#REF!=0,5,4),3),2),1),IF(L175=0,Y174,1))</f>
        <v>1</v>
      </c>
    </row>
    <row r="176" spans="1:25" ht="27" customHeight="1" x14ac:dyDescent="0.25">
      <c r="A176" s="44" t="s">
        <v>45</v>
      </c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Y176" s="27" t="s">
        <v>17</v>
      </c>
    </row>
    <row r="177" spans="1:25" ht="15" hidden="1" customHeight="1" x14ac:dyDescent="0.25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Y177" s="1">
        <v>1</v>
      </c>
    </row>
    <row r="178" spans="1:25" ht="15" hidden="1" customHeight="1" x14ac:dyDescent="0.25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Y178" s="1">
        <v>1</v>
      </c>
    </row>
    <row r="179" spans="1:25" ht="15" hidden="1" customHeight="1" thickBot="1" x14ac:dyDescent="0.3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Y179" s="1">
        <v>1</v>
      </c>
    </row>
    <row r="180" spans="1:25" ht="15.75" thickBot="1" x14ac:dyDescent="0.3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Y180" s="1">
        <v>1</v>
      </c>
    </row>
    <row r="181" spans="1:25" ht="30" customHeight="1" x14ac:dyDescent="0.25">
      <c r="A181" s="37" t="s">
        <v>0</v>
      </c>
      <c r="B181" s="37" t="s">
        <v>8</v>
      </c>
      <c r="C181" s="39" t="s">
        <v>29</v>
      </c>
      <c r="D181" s="37" t="s">
        <v>28</v>
      </c>
      <c r="E181" s="37" t="s">
        <v>28</v>
      </c>
      <c r="F181" s="39" t="s">
        <v>33</v>
      </c>
      <c r="G181" s="39" t="s">
        <v>16</v>
      </c>
      <c r="H181" s="37" t="s">
        <v>9</v>
      </c>
      <c r="I181" s="39" t="s">
        <v>12</v>
      </c>
      <c r="J181" s="41" t="s">
        <v>1</v>
      </c>
      <c r="K181" s="41"/>
      <c r="L181" s="41"/>
      <c r="M181" s="37" t="s">
        <v>14</v>
      </c>
      <c r="N181" s="39" t="s">
        <v>18</v>
      </c>
      <c r="O181" s="39" t="s">
        <v>32</v>
      </c>
      <c r="P181" s="39" t="s">
        <v>21</v>
      </c>
      <c r="Q181" s="39" t="s">
        <v>30</v>
      </c>
      <c r="R181" s="39" t="s">
        <v>19</v>
      </c>
      <c r="S181" s="39" t="s">
        <v>25</v>
      </c>
      <c r="T181" s="41" t="s">
        <v>3</v>
      </c>
      <c r="U181" s="37" t="s">
        <v>4</v>
      </c>
      <c r="V181" s="37" t="s">
        <v>6</v>
      </c>
      <c r="W181" s="42" t="s">
        <v>15</v>
      </c>
      <c r="Y181" s="1">
        <v>1</v>
      </c>
    </row>
    <row r="182" spans="1:25" ht="30" customHeight="1" thickBot="1" x14ac:dyDescent="0.3">
      <c r="A182" s="38"/>
      <c r="B182" s="38"/>
      <c r="C182" s="40"/>
      <c r="D182" s="38"/>
      <c r="E182" s="38"/>
      <c r="F182" s="40"/>
      <c r="G182" s="40"/>
      <c r="H182" s="38"/>
      <c r="I182" s="40"/>
      <c r="J182" s="26" t="s">
        <v>26</v>
      </c>
      <c r="K182" s="26" t="s">
        <v>27</v>
      </c>
      <c r="L182" s="2" t="s">
        <v>2</v>
      </c>
      <c r="M182" s="38"/>
      <c r="N182" s="40"/>
      <c r="O182" s="40"/>
      <c r="P182" s="40"/>
      <c r="Q182" s="40"/>
      <c r="R182" s="40"/>
      <c r="S182" s="40"/>
      <c r="T182" s="46"/>
      <c r="U182" s="38"/>
      <c r="V182" s="38"/>
      <c r="W182" s="43"/>
      <c r="Y182" s="1">
        <v>1</v>
      </c>
    </row>
    <row r="183" spans="1:25" ht="15.75" outlineLevel="1" thickBot="1" x14ac:dyDescent="0.3">
      <c r="A183" s="12" t="s">
        <v>5</v>
      </c>
      <c r="B183" s="16"/>
      <c r="C183" s="30">
        <v>2</v>
      </c>
      <c r="D183" s="11">
        <v>2</v>
      </c>
      <c r="E183" s="11">
        <f>IF(D183="4.5 C", 4.5, IF(D183="4.8 C", 4.8, D183))</f>
        <v>2</v>
      </c>
      <c r="F183" s="11">
        <f t="shared" ref="F183:F198" si="91">IF(L183="Full", IF(Y183=1, E183*C183, E183), IF(L183="Gap", C183, E183))</f>
        <v>4</v>
      </c>
      <c r="G183" s="2">
        <f>VLOOKUP('930-4'!D183,Table1[],2,0)</f>
        <v>2.375</v>
      </c>
      <c r="H183" s="13">
        <f>G183*3.14*2.54</f>
        <v>18.942050000000002</v>
      </c>
      <c r="I183" s="2">
        <f>ROUNDUP(H183, 0)</f>
        <v>19</v>
      </c>
      <c r="J183" s="12">
        <v>40</v>
      </c>
      <c r="K183" s="12">
        <v>50</v>
      </c>
      <c r="L183" s="16" t="s">
        <v>13</v>
      </c>
      <c r="M183" s="14">
        <f t="shared" ref="M183:M198" si="92">IF(L183="Gap",C183, IF(E183&lt;=3, 3*C183, IF(L183="Full", C183*E183/Y183, IF(J183=K183,"Error", IF(K183&lt;J183, C183*(I183+K183-J183)*H183*E183/(3.14*2.54*I183*G183), C183*(K183-J183)*H183*E183/(3.14*2.54*I183*G183))))))</f>
        <v>6</v>
      </c>
      <c r="N183" s="15">
        <f t="shared" ref="N183:N198" si="93">IF(L183=0,IF(L182=0,IF(L181=0,IF(L180=0,IF(L179=0,IF(L178=0,IF(L177="Segment",M183,0),IF(L178="Segment",M183,0)),IF(L179="Segment",M183,0)),IF(L180="Segment",M183,0)),IF(L181="Segment",M183,0)),IF(L182="Segment",M183,0)),M183)</f>
        <v>6</v>
      </c>
      <c r="O183" s="15" t="str">
        <f t="shared" ref="O183:O198" si="94">IF(OR(T183="REJ",T183="NOT DONE-CONTRACTOR"), "YES", "NO")</f>
        <v>NO</v>
      </c>
      <c r="P183" s="25" t="str">
        <f>IF(L183&lt;&gt;0, IF(L183="Gap", O183, IF(L184&lt;&gt;0,  IF(O183="NO", "NO", "YES"), IF(L185&lt;&gt;0, IF(AND(O183="NO", O184="NO"), "NO", "YES"), IF(L186&lt;&gt;0, IF(AND(O183="NO", O184="NO", O185="NO"), "NO", "YES"), IF(AND(O183="NO", O184="NO", O185="NO", O186="NO"), "NO", "YES"))))))</f>
        <v>NO</v>
      </c>
      <c r="Q183" s="25">
        <f>IF(L183=0,0,IF(L184&lt;&gt;0,N183,IF(L185&lt;&gt;0,N183+N184,IF(L186&lt;&gt;0,N183+N184+N185,IF(L187&lt;&gt;0,N183+N184+N185+N186,IF(L188&lt;&gt;0,N183+N184+N185+N186+N187,N183+N184+N185+N186+N187+N188))))))</f>
        <v>6</v>
      </c>
      <c r="R183" s="25">
        <f t="shared" ref="R183:R198" si="95">IF(OR(T183="ACC", T183="REP", T183="RS", T183="RT"), N183, 0)</f>
        <v>6</v>
      </c>
      <c r="S183" s="25">
        <f t="shared" ref="S183:S195" si="96">IF(L183=0, 0, IF(L184&lt;&gt;0, R183, IF(L185&lt;&gt;0, R183+R184, IF(L186&lt;&gt;0, R183+R184+R185, IF(L187&lt;&gt;0, R183+R184+R185+R186, IF(L188&lt;&gt;0, R183+R184+R185+R186+R187, R183+R184+R185+R186+R187+R188))))))</f>
        <v>6</v>
      </c>
      <c r="T183" s="12" t="s">
        <v>7</v>
      </c>
      <c r="U183" s="12" t="s">
        <v>35</v>
      </c>
      <c r="V183" s="25">
        <f t="shared" ref="V183:V198" si="97">IF(OR(S183=0, P183=FALSE), 0, IF(AND(Q183&gt;3*C183, Q183&gt;F183), "Segment Error", IF(OR(P183="YES", L183="Gap"), S183, IF(E183&lt;3, S183, IF(S183&gt;F183/2, F183, F183/2)))))</f>
        <v>6</v>
      </c>
      <c r="W183" s="10">
        <f>V183*2400000</f>
        <v>14400000</v>
      </c>
      <c r="Y183" s="1">
        <f t="shared" ref="Y183:Y196" si="98">IF(L183="FULL",IF(L184=0,IF(L185=0,IF(L186=0,IF(L187=0,5,4),3),2),1),IF(L183=0,Y182,1))</f>
        <v>1</v>
      </c>
    </row>
    <row r="184" spans="1:25" ht="15.75" outlineLevel="1" thickBot="1" x14ac:dyDescent="0.3">
      <c r="A184" s="12" t="s">
        <v>5</v>
      </c>
      <c r="B184" s="16"/>
      <c r="C184" s="30">
        <v>2</v>
      </c>
      <c r="D184" s="11">
        <v>3</v>
      </c>
      <c r="E184" s="11">
        <f t="shared" ref="E184:E198" si="99">IF(D184="4.5 C", 4.5, IF(D184="4.8 C", 4.8, D184))</f>
        <v>3</v>
      </c>
      <c r="F184" s="11">
        <f t="shared" si="91"/>
        <v>6</v>
      </c>
      <c r="G184" s="2">
        <f>VLOOKUP('930-4'!D184,Table1[],2,0)</f>
        <v>3.5</v>
      </c>
      <c r="H184" s="13">
        <f t="shared" ref="H184:H198" si="100">G184*3.14*2.54</f>
        <v>27.9146</v>
      </c>
      <c r="I184" s="2">
        <f t="shared" ref="I184:I198" si="101">ROUNDUP(H184, 0)</f>
        <v>28</v>
      </c>
      <c r="J184" s="12">
        <v>4</v>
      </c>
      <c r="K184" s="12">
        <v>13</v>
      </c>
      <c r="L184" s="16" t="s">
        <v>13</v>
      </c>
      <c r="M184" s="14">
        <f t="shared" si="92"/>
        <v>6</v>
      </c>
      <c r="N184" s="15">
        <f t="shared" si="93"/>
        <v>6</v>
      </c>
      <c r="O184" s="15" t="str">
        <f t="shared" si="94"/>
        <v>NO</v>
      </c>
      <c r="P184" s="25" t="str">
        <f>IF(L184&lt;&gt;0, IF(L184="Gap", O184, IF(L185&lt;&gt;0,  IF(O184="NO", "NO", "YES"), IF(L186&lt;&gt;0, IF(AND(O184="NO", O185="NO"), "NO", "YES"), IF(L187&lt;&gt;0, IF(AND(O184="NO", O185="NO", O186="NO"), "NO", "YES"), IF(AND(O184="NO", O185="NO", O186="NO", O187="NO"), "NO", "YES"))))))</f>
        <v>NO</v>
      </c>
      <c r="Q184" s="25">
        <f t="shared" ref="Q184:Q195" si="102">IF(L184=0,0,IF(L185&lt;&gt;0,N184,IF(L186&lt;&gt;0,N184+N185,IF(L187&lt;&gt;0,N184+N185+N186,IF(L188&lt;&gt;0,N184+N185+N186+N187,IF(L189&lt;&gt;0,N184+N185+N186+N187+N188,N184+N185+N186+N187+N188+N189))))))</f>
        <v>6</v>
      </c>
      <c r="R184" s="25">
        <f t="shared" si="95"/>
        <v>6</v>
      </c>
      <c r="S184" s="25">
        <f t="shared" si="96"/>
        <v>6</v>
      </c>
      <c r="T184" s="12" t="s">
        <v>7</v>
      </c>
      <c r="U184" s="12" t="s">
        <v>35</v>
      </c>
      <c r="V184" s="25">
        <f t="shared" si="97"/>
        <v>6</v>
      </c>
      <c r="W184" s="10">
        <f t="shared" ref="W184:W198" si="103">V184*2400000</f>
        <v>14400000</v>
      </c>
      <c r="Y184" s="1">
        <f t="shared" si="98"/>
        <v>1</v>
      </c>
    </row>
    <row r="185" spans="1:25" ht="15.75" outlineLevel="1" thickBot="1" x14ac:dyDescent="0.3">
      <c r="A185" s="12" t="s">
        <v>5</v>
      </c>
      <c r="B185" s="16"/>
      <c r="C185" s="30">
        <v>3</v>
      </c>
      <c r="D185" s="11">
        <v>6</v>
      </c>
      <c r="E185" s="11">
        <f t="shared" si="99"/>
        <v>6</v>
      </c>
      <c r="F185" s="11">
        <f t="shared" si="91"/>
        <v>18</v>
      </c>
      <c r="G185" s="2">
        <f>VLOOKUP('930-4'!D185,Table1[],2,0)</f>
        <v>6.625</v>
      </c>
      <c r="H185" s="13">
        <f t="shared" si="100"/>
        <v>52.838350000000005</v>
      </c>
      <c r="I185" s="2">
        <f t="shared" si="101"/>
        <v>53</v>
      </c>
      <c r="J185" s="12">
        <v>4</v>
      </c>
      <c r="K185" s="12">
        <v>13</v>
      </c>
      <c r="L185" s="16" t="s">
        <v>13</v>
      </c>
      <c r="M185" s="14">
        <f t="shared" si="92"/>
        <v>18</v>
      </c>
      <c r="N185" s="15">
        <f t="shared" si="93"/>
        <v>18</v>
      </c>
      <c r="O185" s="15" t="str">
        <f t="shared" si="94"/>
        <v>NO</v>
      </c>
      <c r="P185" s="25" t="str">
        <f>IF(L185&lt;&gt;0, IF(L185="Gap", O185, IF(L186&lt;&gt;0,  IF(O185="NO", "NO", "YES"), IF(L187&lt;&gt;0, IF(AND(O185="NO", O186="NO"), "NO", "YES"), IF(L193&lt;&gt;0, IF(AND(O185="NO", O186="NO", O187="NO"), "NO", "YES"), IF(AND(O185="NO", O186="NO", O187="NO", O193="NO"), "NO", "YES"))))))</f>
        <v>NO</v>
      </c>
      <c r="Q185" s="25">
        <f t="shared" si="102"/>
        <v>18</v>
      </c>
      <c r="R185" s="25">
        <f t="shared" si="95"/>
        <v>18</v>
      </c>
      <c r="S185" s="25">
        <f t="shared" si="96"/>
        <v>18</v>
      </c>
      <c r="T185" s="12" t="s">
        <v>7</v>
      </c>
      <c r="U185" s="12" t="s">
        <v>35</v>
      </c>
      <c r="V185" s="25">
        <f t="shared" si="97"/>
        <v>18</v>
      </c>
      <c r="W185" s="10">
        <f t="shared" si="103"/>
        <v>43200000</v>
      </c>
      <c r="X185" s="33"/>
      <c r="Y185" s="1">
        <f t="shared" si="98"/>
        <v>1</v>
      </c>
    </row>
    <row r="186" spans="1:25" ht="15.75" outlineLevel="1" thickBot="1" x14ac:dyDescent="0.3">
      <c r="A186" s="12" t="s">
        <v>5</v>
      </c>
      <c r="B186" s="16"/>
      <c r="C186" s="30">
        <v>4</v>
      </c>
      <c r="D186" s="11">
        <v>8</v>
      </c>
      <c r="E186" s="11">
        <f t="shared" si="99"/>
        <v>8</v>
      </c>
      <c r="F186" s="11">
        <f t="shared" si="91"/>
        <v>32</v>
      </c>
      <c r="G186" s="2">
        <f>VLOOKUP('930-4'!D186,Table1[],2,0)</f>
        <v>8.625</v>
      </c>
      <c r="H186" s="13">
        <f t="shared" si="100"/>
        <v>68.789550000000006</v>
      </c>
      <c r="I186" s="2">
        <f t="shared" si="101"/>
        <v>69</v>
      </c>
      <c r="J186" s="12">
        <v>20</v>
      </c>
      <c r="K186" s="12">
        <v>40</v>
      </c>
      <c r="L186" s="16" t="s">
        <v>13</v>
      </c>
      <c r="M186" s="14">
        <f t="shared" si="92"/>
        <v>32</v>
      </c>
      <c r="N186" s="15">
        <f t="shared" si="93"/>
        <v>32</v>
      </c>
      <c r="O186" s="15" t="str">
        <f t="shared" si="94"/>
        <v>NO</v>
      </c>
      <c r="P186" s="25" t="str">
        <f>IF(L186&lt;&gt;0, IF(L186="Gap", O186, IF(L187&lt;&gt;0,  IF(O186="NO", "NO", "YES"), IF(L193&lt;&gt;0, IF(AND(O186="NO", O187="NO"), "NO", "YES"), IF(L194&lt;&gt;0, IF(AND(O186="NO", O187="NO", O193="NO"), "NO", "YES"), IF(AND(O186="NO", O187="NO", O193="NO", O194="NO"), "NO", "YES"))))))</f>
        <v>NO</v>
      </c>
      <c r="Q186" s="25">
        <f t="shared" si="102"/>
        <v>32</v>
      </c>
      <c r="R186" s="25">
        <f t="shared" si="95"/>
        <v>32</v>
      </c>
      <c r="S186" s="25">
        <f t="shared" si="96"/>
        <v>32</v>
      </c>
      <c r="T186" s="12" t="s">
        <v>7</v>
      </c>
      <c r="U186" s="12" t="s">
        <v>35</v>
      </c>
      <c r="V186" s="25">
        <f t="shared" si="97"/>
        <v>32</v>
      </c>
      <c r="W186" s="10">
        <f t="shared" si="103"/>
        <v>76800000</v>
      </c>
      <c r="Y186" s="1">
        <f t="shared" si="98"/>
        <v>1</v>
      </c>
    </row>
    <row r="187" spans="1:25" ht="15.75" outlineLevel="1" thickBot="1" x14ac:dyDescent="0.3">
      <c r="A187" s="12" t="s">
        <v>5</v>
      </c>
      <c r="B187" s="16"/>
      <c r="C187" s="30">
        <v>1</v>
      </c>
      <c r="D187" s="11">
        <v>10</v>
      </c>
      <c r="E187" s="11">
        <f t="shared" si="99"/>
        <v>10</v>
      </c>
      <c r="F187" s="11">
        <f t="shared" si="91"/>
        <v>10</v>
      </c>
      <c r="G187" s="2">
        <f>VLOOKUP('930-4'!D187,Table1[],2,0)</f>
        <v>10.75</v>
      </c>
      <c r="H187" s="13">
        <f t="shared" si="100"/>
        <v>85.737700000000004</v>
      </c>
      <c r="I187" s="2">
        <f t="shared" si="101"/>
        <v>86</v>
      </c>
      <c r="J187" s="12">
        <v>65</v>
      </c>
      <c r="K187" s="12">
        <v>85</v>
      </c>
      <c r="L187" s="16" t="s">
        <v>13</v>
      </c>
      <c r="M187" s="14">
        <f t="shared" si="92"/>
        <v>10</v>
      </c>
      <c r="N187" s="15">
        <f t="shared" si="93"/>
        <v>10</v>
      </c>
      <c r="O187" s="15" t="str">
        <f t="shared" si="94"/>
        <v>NO</v>
      </c>
      <c r="P187" s="25" t="str">
        <f>IF(L187&lt;&gt;0, IF(L187="Gap", O187, IF(L193&lt;&gt;0,  IF(O187="NO", "NO", "YES"), IF(L194&lt;&gt;0, IF(AND(O187="NO", O193="NO"), "NO", "YES"), IF(L195&lt;&gt;0, IF(AND(O187="NO", O193="NO", O194="NO"), "NO", "YES"), IF(AND(O187="NO", O193="NO", O194="NO", O195="NO"), "NO", "YES"))))))</f>
        <v>NO</v>
      </c>
      <c r="Q187" s="25">
        <f t="shared" si="102"/>
        <v>10</v>
      </c>
      <c r="R187" s="25">
        <f t="shared" si="95"/>
        <v>10</v>
      </c>
      <c r="S187" s="25">
        <f t="shared" si="96"/>
        <v>10</v>
      </c>
      <c r="T187" s="12" t="s">
        <v>7</v>
      </c>
      <c r="U187" s="12" t="s">
        <v>35</v>
      </c>
      <c r="V187" s="25">
        <f t="shared" si="97"/>
        <v>10</v>
      </c>
      <c r="W187" s="10">
        <f t="shared" si="103"/>
        <v>24000000</v>
      </c>
      <c r="Y187" s="1">
        <f t="shared" si="98"/>
        <v>1</v>
      </c>
    </row>
    <row r="188" spans="1:25" ht="15.75" outlineLevel="1" thickBot="1" x14ac:dyDescent="0.3">
      <c r="A188" s="12" t="s">
        <v>5</v>
      </c>
      <c r="B188" s="32"/>
      <c r="C188" s="30">
        <v>0</v>
      </c>
      <c r="D188" s="11">
        <v>10</v>
      </c>
      <c r="E188" s="11">
        <f t="shared" si="99"/>
        <v>10</v>
      </c>
      <c r="F188" s="11">
        <f t="shared" si="91"/>
        <v>0</v>
      </c>
      <c r="G188" s="2">
        <f>VLOOKUP('930-4'!D188,Table1[],2,0)</f>
        <v>10.75</v>
      </c>
      <c r="H188" s="13">
        <f t="shared" si="100"/>
        <v>85.737700000000004</v>
      </c>
      <c r="I188" s="2">
        <f t="shared" si="101"/>
        <v>86</v>
      </c>
      <c r="J188" s="12">
        <v>40</v>
      </c>
      <c r="K188" s="12">
        <v>125</v>
      </c>
      <c r="L188" s="16" t="s">
        <v>13</v>
      </c>
      <c r="M188" s="14">
        <f t="shared" si="92"/>
        <v>0</v>
      </c>
      <c r="N188" s="15">
        <f t="shared" si="93"/>
        <v>0</v>
      </c>
      <c r="O188" s="15" t="str">
        <f t="shared" si="94"/>
        <v>NO</v>
      </c>
      <c r="P188" s="25" t="str">
        <f>IF(L188&lt;&gt;0, IF(L188="Gap", O188, IF(L189&lt;&gt;0,  IF(O188="NO", "NO", "YES"), IF(L190&lt;&gt;0, IF(AND(O188="NO", O189="NO"), "NO", "YES"), IF(L191&lt;&gt;0, IF(AND(O188="NO", O189="NO", O190="NO"), "NO", "YES"), IF(AND(O188="NO", O189="NO", O190="NO", O191="NO"), "NO", "YES"))))))</f>
        <v>NO</v>
      </c>
      <c r="Q188" s="25">
        <f t="shared" si="102"/>
        <v>0</v>
      </c>
      <c r="R188" s="25">
        <f t="shared" si="95"/>
        <v>0</v>
      </c>
      <c r="S188" s="25">
        <f t="shared" si="96"/>
        <v>0</v>
      </c>
      <c r="T188" s="12" t="s">
        <v>7</v>
      </c>
      <c r="U188" s="12" t="s">
        <v>35</v>
      </c>
      <c r="V188" s="25">
        <f t="shared" si="97"/>
        <v>0</v>
      </c>
      <c r="W188" s="10">
        <f t="shared" si="103"/>
        <v>0</v>
      </c>
      <c r="Y188" s="1">
        <f t="shared" si="98"/>
        <v>1</v>
      </c>
    </row>
    <row r="189" spans="1:25" ht="15.75" outlineLevel="1" thickBot="1" x14ac:dyDescent="0.3">
      <c r="A189" s="12" t="s">
        <v>5</v>
      </c>
      <c r="B189" s="16"/>
      <c r="C189" s="30">
        <v>0</v>
      </c>
      <c r="D189" s="11">
        <v>6</v>
      </c>
      <c r="E189" s="11">
        <f t="shared" si="99"/>
        <v>6</v>
      </c>
      <c r="F189" s="11">
        <f t="shared" si="91"/>
        <v>6</v>
      </c>
      <c r="G189" s="2">
        <f>VLOOKUP('930-4'!D189,Table1[],2,0)</f>
        <v>6.625</v>
      </c>
      <c r="H189" s="13">
        <f t="shared" si="100"/>
        <v>52.838350000000005</v>
      </c>
      <c r="I189" s="2">
        <f t="shared" si="101"/>
        <v>53</v>
      </c>
      <c r="J189" s="12">
        <v>40</v>
      </c>
      <c r="K189" s="12">
        <v>125</v>
      </c>
      <c r="L189" s="16" t="s">
        <v>34</v>
      </c>
      <c r="M189" s="14">
        <f t="shared" si="92"/>
        <v>0</v>
      </c>
      <c r="N189" s="15">
        <f t="shared" si="93"/>
        <v>0</v>
      </c>
      <c r="O189" s="15" t="str">
        <f t="shared" si="94"/>
        <v>NO</v>
      </c>
      <c r="P189" s="25" t="str">
        <f>IF(L189&lt;&gt;0, IF(L189="Gap", O189, IF(L190&lt;&gt;0,  IF(O189="NO", "NO", "YES"), IF(L191&lt;&gt;0, IF(AND(O189="NO", O190="NO"), "NO", "YES"), IF(L193&lt;&gt;0, IF(AND(O189="NO", O190="NO", O191="NO"), "NO", "YES"), IF(AND(O189="NO", O190="NO", O191="NO", O193="NO"), "NO", "YES"))))))</f>
        <v>NO</v>
      </c>
      <c r="Q189" s="25">
        <f t="shared" si="102"/>
        <v>0</v>
      </c>
      <c r="R189" s="25">
        <f t="shared" si="95"/>
        <v>0</v>
      </c>
      <c r="S189" s="25">
        <f t="shared" si="96"/>
        <v>0</v>
      </c>
      <c r="T189" s="12" t="s">
        <v>7</v>
      </c>
      <c r="U189" s="12" t="s">
        <v>35</v>
      </c>
      <c r="V189" s="25">
        <f t="shared" si="97"/>
        <v>0</v>
      </c>
      <c r="W189" s="10">
        <f t="shared" si="103"/>
        <v>0</v>
      </c>
      <c r="Y189" s="1">
        <f t="shared" si="98"/>
        <v>1</v>
      </c>
    </row>
    <row r="190" spans="1:25" ht="15.75" outlineLevel="1" thickBot="1" x14ac:dyDescent="0.3">
      <c r="A190" s="12" t="s">
        <v>5</v>
      </c>
      <c r="B190" s="16"/>
      <c r="C190" s="30">
        <v>0</v>
      </c>
      <c r="D190" s="11">
        <v>18</v>
      </c>
      <c r="E190" s="11">
        <f t="shared" si="99"/>
        <v>18</v>
      </c>
      <c r="F190" s="11">
        <f t="shared" si="91"/>
        <v>18</v>
      </c>
      <c r="G190" s="2">
        <f>VLOOKUP('930-4'!D190,Table1[],2,0)</f>
        <v>18</v>
      </c>
      <c r="H190" s="13">
        <f t="shared" si="100"/>
        <v>143.5608</v>
      </c>
      <c r="I190" s="2">
        <f t="shared" si="101"/>
        <v>144</v>
      </c>
      <c r="J190" s="12">
        <v>40</v>
      </c>
      <c r="K190" s="12">
        <v>45</v>
      </c>
      <c r="L190" s="34" t="s">
        <v>34</v>
      </c>
      <c r="M190" s="14">
        <f t="shared" si="92"/>
        <v>0</v>
      </c>
      <c r="N190" s="15">
        <f t="shared" si="93"/>
        <v>0</v>
      </c>
      <c r="O190" s="15" t="str">
        <f t="shared" si="94"/>
        <v>NO</v>
      </c>
      <c r="P190" s="25" t="str">
        <f>IF(L190&lt;&gt;0, IF(L190="Gap", O190, IF(L191&lt;&gt;0,  IF(O190="NO", "NO", "YES"), IF(L193&lt;&gt;0, IF(AND(O190="NO", O191="NO"), "NO", "YES"), IF(L194&lt;&gt;0, IF(AND(O190="NO", O191="NO", O193="NO"), "NO", "YES"), IF(AND(O190="NO", O191="NO", O193="NO", O194="NO"), "NO", "YES"))))))</f>
        <v>NO</v>
      </c>
      <c r="Q190" s="25">
        <f t="shared" si="102"/>
        <v>0</v>
      </c>
      <c r="R190" s="25">
        <f t="shared" si="95"/>
        <v>0</v>
      </c>
      <c r="S190" s="25">
        <f t="shared" si="96"/>
        <v>0</v>
      </c>
      <c r="T190" s="12" t="s">
        <v>7</v>
      </c>
      <c r="U190" s="12" t="s">
        <v>35</v>
      </c>
      <c r="V190" s="25">
        <f t="shared" si="97"/>
        <v>0</v>
      </c>
      <c r="W190" s="10">
        <f t="shared" si="103"/>
        <v>0</v>
      </c>
      <c r="Y190" s="1">
        <f t="shared" si="98"/>
        <v>1</v>
      </c>
    </row>
    <row r="191" spans="1:25" ht="15.75" outlineLevel="1" thickBot="1" x14ac:dyDescent="0.3">
      <c r="A191" s="16" t="s">
        <v>5</v>
      </c>
      <c r="B191" s="16"/>
      <c r="C191" s="30">
        <v>0</v>
      </c>
      <c r="D191" s="17">
        <v>18</v>
      </c>
      <c r="E191" s="11">
        <f t="shared" si="99"/>
        <v>18</v>
      </c>
      <c r="F191" s="11">
        <f t="shared" si="91"/>
        <v>18</v>
      </c>
      <c r="G191" s="2">
        <f>VLOOKUP('930-4'!D191,Table1[],2,0)</f>
        <v>18</v>
      </c>
      <c r="H191" s="19">
        <f t="shared" si="100"/>
        <v>143.5608</v>
      </c>
      <c r="I191" s="18">
        <f t="shared" si="101"/>
        <v>144</v>
      </c>
      <c r="J191" s="12">
        <v>40</v>
      </c>
      <c r="K191" s="12">
        <v>10</v>
      </c>
      <c r="L191" s="35"/>
      <c r="M191" s="14">
        <f t="shared" si="92"/>
        <v>0</v>
      </c>
      <c r="N191" s="15">
        <f t="shared" si="93"/>
        <v>0</v>
      </c>
      <c r="O191" s="15" t="str">
        <f t="shared" si="94"/>
        <v>NO</v>
      </c>
      <c r="P191" s="25" t="b">
        <f>IF(L191&lt;&gt;0, IF(L191="Gap", O191, IF(L193&lt;&gt;0,  IF(O191="NO", "NO", "YES"), IF(L194&lt;&gt;0, IF(AND(O191="NO", O193="NO"), "NO", "YES"), IF(L195&lt;&gt;0, IF(AND(O191="NO", O193="NO", O194="NO"), "NO", "YES"), IF(AND(O191="NO", O193="NO", O194="NO", O195="NO"), "NO", "YES"))))))</f>
        <v>0</v>
      </c>
      <c r="Q191" s="25">
        <f t="shared" si="102"/>
        <v>0</v>
      </c>
      <c r="R191" s="25">
        <f t="shared" si="95"/>
        <v>0</v>
      </c>
      <c r="S191" s="25">
        <f t="shared" si="96"/>
        <v>0</v>
      </c>
      <c r="T191" s="12" t="s">
        <v>7</v>
      </c>
      <c r="U191" s="12" t="s">
        <v>35</v>
      </c>
      <c r="V191" s="25">
        <f t="shared" si="97"/>
        <v>0</v>
      </c>
      <c r="W191" s="10">
        <f t="shared" si="103"/>
        <v>0</v>
      </c>
      <c r="Y191" s="1">
        <f t="shared" si="98"/>
        <v>1</v>
      </c>
    </row>
    <row r="192" spans="1:25" ht="15.75" outlineLevel="1" thickBot="1" x14ac:dyDescent="0.3">
      <c r="A192" s="12" t="s">
        <v>5</v>
      </c>
      <c r="B192" s="16"/>
      <c r="C192" s="30">
        <v>0</v>
      </c>
      <c r="D192" s="11">
        <v>10</v>
      </c>
      <c r="E192" s="11">
        <f t="shared" si="99"/>
        <v>10</v>
      </c>
      <c r="F192" s="11">
        <f t="shared" si="91"/>
        <v>0</v>
      </c>
      <c r="G192" s="2">
        <f>VLOOKUP('930-4'!D192,Table1[],2,0)</f>
        <v>10.75</v>
      </c>
      <c r="H192" s="13">
        <f t="shared" si="100"/>
        <v>85.737700000000004</v>
      </c>
      <c r="I192" s="2">
        <f t="shared" si="101"/>
        <v>86</v>
      </c>
      <c r="J192" s="12">
        <v>40</v>
      </c>
      <c r="K192" s="12">
        <v>35</v>
      </c>
      <c r="L192" s="16" t="s">
        <v>13</v>
      </c>
      <c r="M192" s="14">
        <f t="shared" si="92"/>
        <v>0</v>
      </c>
      <c r="N192" s="15">
        <f t="shared" si="93"/>
        <v>0</v>
      </c>
      <c r="O192" s="15" t="str">
        <f t="shared" si="94"/>
        <v>NO</v>
      </c>
      <c r="P192" s="25" t="str">
        <f>IF(L192&lt;&gt;0, IF(L192="Gap", O192, IF(L198&lt;&gt;0,  IF(O192="NO", "NO", "YES"), IF(L199&lt;&gt;0, IF(AND(O192="NO", O198="NO"), "NO", "YES"), IF(L200&lt;&gt;0, IF(AND(O192="NO", O198="NO", O199="NO"), "NO", "YES"), IF(AND(O192="NO", O198="NO", O199="NO", O200="NO"), "NO", "YES"))))))</f>
        <v>NO</v>
      </c>
      <c r="Q192" s="25">
        <f t="shared" si="102"/>
        <v>0</v>
      </c>
      <c r="R192" s="25">
        <f t="shared" si="95"/>
        <v>0</v>
      </c>
      <c r="S192" s="25">
        <f t="shared" si="96"/>
        <v>0</v>
      </c>
      <c r="T192" s="12" t="s">
        <v>7</v>
      </c>
      <c r="U192" s="12" t="s">
        <v>35</v>
      </c>
      <c r="V192" s="25">
        <f t="shared" si="97"/>
        <v>0</v>
      </c>
      <c r="W192" s="10">
        <f t="shared" si="103"/>
        <v>0</v>
      </c>
      <c r="Y192" s="1">
        <f t="shared" si="98"/>
        <v>1</v>
      </c>
    </row>
    <row r="193" spans="1:25" ht="15.75" outlineLevel="1" thickBot="1" x14ac:dyDescent="0.3">
      <c r="A193" s="12" t="s">
        <v>5</v>
      </c>
      <c r="B193" s="32"/>
      <c r="C193" s="30">
        <v>0</v>
      </c>
      <c r="D193" s="11">
        <v>10</v>
      </c>
      <c r="E193" s="11">
        <f t="shared" si="99"/>
        <v>10</v>
      </c>
      <c r="F193" s="11">
        <f t="shared" si="91"/>
        <v>10</v>
      </c>
      <c r="G193" s="2">
        <f>VLOOKUP('930-4'!D193,Table1[],2,0)</f>
        <v>10.75</v>
      </c>
      <c r="H193" s="13">
        <f t="shared" si="100"/>
        <v>85.737700000000004</v>
      </c>
      <c r="I193" s="2">
        <f t="shared" si="101"/>
        <v>86</v>
      </c>
      <c r="J193" s="12">
        <v>40</v>
      </c>
      <c r="K193" s="12">
        <v>50</v>
      </c>
      <c r="L193" s="34" t="s">
        <v>34</v>
      </c>
      <c r="M193" s="14">
        <f t="shared" si="92"/>
        <v>0</v>
      </c>
      <c r="N193" s="15">
        <f t="shared" si="93"/>
        <v>0</v>
      </c>
      <c r="O193" s="15" t="str">
        <f t="shared" si="94"/>
        <v>NO</v>
      </c>
      <c r="P193" s="25" t="str">
        <f>IF(L193&lt;&gt;0, IF(L193="Gap", O193, IF(L194&lt;&gt;0,  IF(O193="NO", "NO", "YES"), IF(L195&lt;&gt;0, IF(AND(O193="NO", O194="NO"), "NO", "YES"), IF(L196&lt;&gt;0, IF(AND(O193="NO", O194="NO", O195="NO"), "NO", "YES"), IF(AND(O193="NO", O194="NO", O195="NO", O196="NO"), "NO", "YES"))))))</f>
        <v>NO</v>
      </c>
      <c r="Q193" s="25">
        <f t="shared" si="102"/>
        <v>0</v>
      </c>
      <c r="R193" s="25">
        <f t="shared" si="95"/>
        <v>0</v>
      </c>
      <c r="S193" s="25">
        <f t="shared" si="96"/>
        <v>0</v>
      </c>
      <c r="T193" s="12" t="s">
        <v>7</v>
      </c>
      <c r="U193" s="12" t="s">
        <v>35</v>
      </c>
      <c r="V193" s="25">
        <f t="shared" si="97"/>
        <v>0</v>
      </c>
      <c r="W193" s="10">
        <f t="shared" si="103"/>
        <v>0</v>
      </c>
      <c r="Y193" s="1">
        <f t="shared" si="98"/>
        <v>1</v>
      </c>
    </row>
    <row r="194" spans="1:25" ht="15.75" outlineLevel="1" thickBot="1" x14ac:dyDescent="0.3">
      <c r="A194" s="12" t="s">
        <v>5</v>
      </c>
      <c r="B194" s="16"/>
      <c r="C194" s="30">
        <v>0</v>
      </c>
      <c r="D194" s="11">
        <v>10</v>
      </c>
      <c r="E194" s="11">
        <f t="shared" si="99"/>
        <v>10</v>
      </c>
      <c r="F194" s="11">
        <f t="shared" si="91"/>
        <v>10</v>
      </c>
      <c r="G194" s="2">
        <f>VLOOKUP('930-4'!D194,Table1[],2,0)</f>
        <v>10.75</v>
      </c>
      <c r="H194" s="13">
        <f t="shared" si="100"/>
        <v>85.737700000000004</v>
      </c>
      <c r="I194" s="2">
        <f t="shared" si="101"/>
        <v>86</v>
      </c>
      <c r="J194" s="12">
        <v>40</v>
      </c>
      <c r="K194" s="12">
        <v>80</v>
      </c>
      <c r="L194" s="35"/>
      <c r="M194" s="14">
        <f t="shared" si="92"/>
        <v>0</v>
      </c>
      <c r="N194" s="15">
        <f t="shared" si="93"/>
        <v>0</v>
      </c>
      <c r="O194" s="15" t="str">
        <f t="shared" si="94"/>
        <v>NO</v>
      </c>
      <c r="P194" s="25" t="b">
        <f>IF(L194&lt;&gt;0, IF(L194="Gap", O194, IF(L195&lt;&gt;0,  IF(O194="NO", "NO", "YES"), IF(L196&lt;&gt;0, IF(AND(O194="NO", O195="NO"), "NO", "YES"), IF(L198&lt;&gt;0, IF(AND(O194="NO", O195="NO", O196="NO"), "NO", "YES"), IF(AND(O194="NO", O195="NO", O196="NO", O198="NO"), "NO", "YES"))))))</f>
        <v>0</v>
      </c>
      <c r="Q194" s="25">
        <f t="shared" si="102"/>
        <v>0</v>
      </c>
      <c r="R194" s="25">
        <f t="shared" si="95"/>
        <v>0</v>
      </c>
      <c r="S194" s="25">
        <f t="shared" si="96"/>
        <v>0</v>
      </c>
      <c r="T194" s="12" t="s">
        <v>7</v>
      </c>
      <c r="U194" s="12" t="s">
        <v>35</v>
      </c>
      <c r="V194" s="25">
        <f t="shared" si="97"/>
        <v>0</v>
      </c>
      <c r="W194" s="10">
        <f t="shared" si="103"/>
        <v>0</v>
      </c>
      <c r="Y194" s="1">
        <f t="shared" si="98"/>
        <v>1</v>
      </c>
    </row>
    <row r="195" spans="1:25" ht="15.75" outlineLevel="1" thickBot="1" x14ac:dyDescent="0.3">
      <c r="A195" s="12" t="s">
        <v>5</v>
      </c>
      <c r="B195" s="16"/>
      <c r="C195" s="30">
        <v>0</v>
      </c>
      <c r="D195" s="11">
        <v>10</v>
      </c>
      <c r="E195" s="11">
        <f t="shared" si="99"/>
        <v>10</v>
      </c>
      <c r="F195" s="11">
        <f t="shared" si="91"/>
        <v>10</v>
      </c>
      <c r="G195" s="2">
        <f>VLOOKUP('930-4'!D195,Table1[],2,0)</f>
        <v>10.75</v>
      </c>
      <c r="H195" s="13">
        <f t="shared" si="100"/>
        <v>85.737700000000004</v>
      </c>
      <c r="I195" s="2">
        <f t="shared" si="101"/>
        <v>86</v>
      </c>
      <c r="J195" s="12">
        <v>40</v>
      </c>
      <c r="K195" s="12">
        <v>55</v>
      </c>
      <c r="L195" s="34" t="s">
        <v>34</v>
      </c>
      <c r="M195" s="14">
        <f t="shared" si="92"/>
        <v>0</v>
      </c>
      <c r="N195" s="15">
        <f t="shared" si="93"/>
        <v>0</v>
      </c>
      <c r="O195" s="15" t="str">
        <f t="shared" si="94"/>
        <v>NO</v>
      </c>
      <c r="P195" s="25" t="str">
        <f>IF(L195&lt;&gt;0, IF(L195="Gap", O195, IF(L196&lt;&gt;0,  IF(O195="NO", "NO", "YES"), IF(L198&lt;&gt;0, IF(AND(O195="NO", O196="NO"), "NO", "YES"), IF(L199&lt;&gt;0, IF(AND(O195="NO", O196="NO", O198="NO"), "NO", "YES"), IF(AND(O195="NO", O196="NO", O198="NO", O199="NO"), "NO", "YES"))))))</f>
        <v>NO</v>
      </c>
      <c r="Q195" s="25">
        <f t="shared" si="102"/>
        <v>0</v>
      </c>
      <c r="R195" s="25">
        <f t="shared" si="95"/>
        <v>0</v>
      </c>
      <c r="S195" s="25">
        <f t="shared" si="96"/>
        <v>0</v>
      </c>
      <c r="T195" s="12" t="s">
        <v>7</v>
      </c>
      <c r="U195" s="12" t="s">
        <v>35</v>
      </c>
      <c r="V195" s="25">
        <f t="shared" si="97"/>
        <v>0</v>
      </c>
      <c r="W195" s="10">
        <f t="shared" si="103"/>
        <v>0</v>
      </c>
      <c r="Y195" s="1">
        <f t="shared" si="98"/>
        <v>1</v>
      </c>
    </row>
    <row r="196" spans="1:25" ht="15.75" outlineLevel="1" thickBot="1" x14ac:dyDescent="0.3">
      <c r="A196" s="16" t="s">
        <v>5</v>
      </c>
      <c r="B196" s="16"/>
      <c r="C196" s="30">
        <v>0</v>
      </c>
      <c r="D196" s="17">
        <v>10</v>
      </c>
      <c r="E196" s="11">
        <f t="shared" si="99"/>
        <v>10</v>
      </c>
      <c r="F196" s="11">
        <f t="shared" si="91"/>
        <v>10</v>
      </c>
      <c r="G196" s="2">
        <f>VLOOKUP('930-4'!D196,Table1[],2,0)</f>
        <v>10.75</v>
      </c>
      <c r="H196" s="19">
        <f t="shared" si="100"/>
        <v>85.737700000000004</v>
      </c>
      <c r="I196" s="18">
        <f t="shared" si="101"/>
        <v>86</v>
      </c>
      <c r="J196" s="12">
        <v>40</v>
      </c>
      <c r="K196" s="12">
        <v>75</v>
      </c>
      <c r="L196" s="35"/>
      <c r="M196" s="14">
        <f t="shared" si="92"/>
        <v>0</v>
      </c>
      <c r="N196" s="15">
        <f t="shared" si="93"/>
        <v>0</v>
      </c>
      <c r="O196" s="15" t="str">
        <f t="shared" si="94"/>
        <v>NO</v>
      </c>
      <c r="P196" s="25" t="b">
        <f>IF(L196&lt;&gt;0, IF(L196="Gap", O196, IF(L198&lt;&gt;0,  IF(O196="NO", "NO", "YES"), IF(L199&lt;&gt;0, IF(AND(O196="NO", O198="NO"), "NO", "YES"), IF(L200&lt;&gt;0, IF(AND(O196="NO", O198="NO", O199="NO"), "NO", "YES"), IF(AND(O196="NO", O198="NO", O199="NO", O200="NO"), "NO", "YES"))))))</f>
        <v>0</v>
      </c>
      <c r="Q196" s="25">
        <f>IF(L196=0,0,IF(L197&lt;&gt;0,N196,IF(L198&lt;&gt;0,N196+N197,IF(L199&lt;&gt;0,N196+N197+N198,IF(L200&lt;&gt;0,N196+N197+N198+N199,IF(#REF!&lt;&gt;0,N196+N197+N198+N199+N200,N196+N197+N198+N199+N200+#REF!))))))</f>
        <v>0</v>
      </c>
      <c r="R196" s="25">
        <f t="shared" si="95"/>
        <v>0</v>
      </c>
      <c r="S196" s="25">
        <f>IF(L196=0, 0, IF(L197&lt;&gt;0, R196, IF(L198&lt;&gt;0, R196+R197, IF(L199&lt;&gt;0, R196+R197+R198, IF(L200&lt;&gt;0, R196+R197+R198+R199, IF(#REF!&lt;&gt;0, R196+R197+R198+R199+R200, R196+R197+R198+R199+R200+#REF!))))))</f>
        <v>0</v>
      </c>
      <c r="T196" s="12" t="s">
        <v>7</v>
      </c>
      <c r="U196" s="12" t="s">
        <v>35</v>
      </c>
      <c r="V196" s="25">
        <f t="shared" si="97"/>
        <v>0</v>
      </c>
      <c r="W196" s="10">
        <f t="shared" si="103"/>
        <v>0</v>
      </c>
      <c r="Y196" s="1">
        <f t="shared" si="98"/>
        <v>1</v>
      </c>
    </row>
    <row r="197" spans="1:25" ht="15.75" outlineLevel="1" thickBot="1" x14ac:dyDescent="0.3">
      <c r="A197" s="16"/>
      <c r="B197" s="16"/>
      <c r="C197" s="30">
        <v>0</v>
      </c>
      <c r="D197" s="17">
        <v>10</v>
      </c>
      <c r="E197" s="11">
        <f t="shared" si="99"/>
        <v>10</v>
      </c>
      <c r="F197" s="11">
        <f t="shared" si="91"/>
        <v>0</v>
      </c>
      <c r="G197" s="2">
        <f>VLOOKUP('930-4'!D197,Table1[],2,0)</f>
        <v>10.75</v>
      </c>
      <c r="H197" s="19">
        <f t="shared" si="100"/>
        <v>85.737700000000004</v>
      </c>
      <c r="I197" s="18">
        <f t="shared" si="101"/>
        <v>86</v>
      </c>
      <c r="J197" s="12">
        <v>40</v>
      </c>
      <c r="K197" s="12">
        <v>45</v>
      </c>
      <c r="L197" s="16" t="s">
        <v>13</v>
      </c>
      <c r="M197" s="14">
        <f t="shared" si="92"/>
        <v>0</v>
      </c>
      <c r="N197" s="15">
        <f t="shared" si="93"/>
        <v>0</v>
      </c>
      <c r="O197" s="15" t="str">
        <f t="shared" si="94"/>
        <v>NO</v>
      </c>
      <c r="P197" s="25" t="str">
        <f>IF(L197&lt;&gt;0, IF(L197="Gap", O197, IF(L198&lt;&gt;0,  IF(O197="NO", "NO", "YES"), IF(L199&lt;&gt;0, IF(AND(O197="NO", O198="NO"), "NO", "YES"), IF(L200&lt;&gt;0, IF(AND(O197="NO", O198="NO", O199="NO"), "NO", "YES"), IF(AND(O197="NO", O198="NO", O199="NO", O200="NO"), "NO", "YES"))))))</f>
        <v>NO</v>
      </c>
      <c r="Q197" s="25">
        <f>IF(L197=0,0,IF(L198&lt;&gt;0,N197,IF(L199&lt;&gt;0,N197+N198,IF(L200&lt;&gt;0,N197+N198+N199,IF(#REF!&lt;&gt;0,N197+N198+N199+N200,IF(#REF!&lt;&gt;0,N197+N198+N199+N200+#REF!,N197+N198+N199+N200+#REF!+#REF!))))))</f>
        <v>0</v>
      </c>
      <c r="R197" s="25">
        <f t="shared" si="95"/>
        <v>0</v>
      </c>
      <c r="S197" s="25">
        <f>IF(L197=0, 0, IF(L198&lt;&gt;0, R197, IF(L199&lt;&gt;0, R197+R198, IF(L200&lt;&gt;0, R197+R198+R199, IF(#REF!&lt;&gt;0, R197+R198+R199+R200, IF(#REF!&lt;&gt;0, R197+R198+R199+R200+#REF!, R197+R198+R199+R200+#REF!+#REF!))))))</f>
        <v>0</v>
      </c>
      <c r="T197" s="12" t="s">
        <v>7</v>
      </c>
      <c r="U197" s="12" t="s">
        <v>35</v>
      </c>
      <c r="V197" s="25">
        <f t="shared" si="97"/>
        <v>0</v>
      </c>
      <c r="W197" s="10">
        <f t="shared" si="103"/>
        <v>0</v>
      </c>
      <c r="Y197" s="1">
        <f>IF(L197="FULL",IF(L198=0,IF(L199=0,IF(L200=0,IF(#REF!=0,5,4),3),2),1),IF(L197=0,Y196,1))</f>
        <v>1</v>
      </c>
    </row>
    <row r="198" spans="1:25" outlineLevel="1" x14ac:dyDescent="0.25">
      <c r="A198" s="16"/>
      <c r="B198" s="16"/>
      <c r="C198" s="30">
        <v>0</v>
      </c>
      <c r="D198" s="17">
        <v>2</v>
      </c>
      <c r="E198" s="11">
        <f t="shared" si="99"/>
        <v>2</v>
      </c>
      <c r="F198" s="11">
        <f t="shared" si="91"/>
        <v>0</v>
      </c>
      <c r="G198" s="2">
        <f>VLOOKUP('930-4'!D198,Table1[],2,0)</f>
        <v>2.375</v>
      </c>
      <c r="H198" s="19">
        <f t="shared" si="100"/>
        <v>18.942050000000002</v>
      </c>
      <c r="I198" s="18">
        <f t="shared" si="101"/>
        <v>19</v>
      </c>
      <c r="J198" s="12">
        <v>40</v>
      </c>
      <c r="K198" s="12">
        <v>45</v>
      </c>
      <c r="L198" s="16" t="s">
        <v>13</v>
      </c>
      <c r="M198" s="14">
        <f t="shared" si="92"/>
        <v>0</v>
      </c>
      <c r="N198" s="15">
        <f t="shared" si="93"/>
        <v>0</v>
      </c>
      <c r="O198" s="15" t="str">
        <f t="shared" si="94"/>
        <v>NO</v>
      </c>
      <c r="P198" s="25" t="str">
        <f>IF(L198&lt;&gt;0, IF(L198="Gap", O198, IF(L199&lt;&gt;0,  IF(O198="NO", "NO", "YES"), IF(L200&lt;&gt;0, IF(AND(O198="NO", O199="NO"), "NO", "YES"), IF(#REF!&lt;&gt;0, IF(AND(O198="NO", O199="NO", O200="NO"), "NO", "YES"), IF(AND(O198="NO", O199="NO", O200="NO",#REF!= "NO"), "NO", "YES"))))))</f>
        <v>NO</v>
      </c>
      <c r="Q198" s="25">
        <f>IF(L198=0,0,IF(L199&lt;&gt;0,N198,IF(L200&lt;&gt;0,N198+N199,IF(#REF!&lt;&gt;0,N198+N199+N200,IF(#REF!&lt;&gt;0,N198+N199+N200+#REF!,IF(#REF!&lt;&gt;0,N198+N199+N200+#REF!+#REF!,N198+N199+N200+#REF!+#REF!+#REF!))))))</f>
        <v>0</v>
      </c>
      <c r="R198" s="25">
        <f t="shared" si="95"/>
        <v>0</v>
      </c>
      <c r="S198" s="25">
        <f>IF(L198=0, 0, IF(L199&lt;&gt;0, R198, IF(L200&lt;&gt;0, R198+R199, IF(#REF!&lt;&gt;0, R198+R199+R200, IF(#REF!&lt;&gt;0, R198+R199+R200+#REF!, IF(#REF!&lt;&gt;0, R198+R199+R200+#REF!+#REF!, R198+R199+R200+#REF!+#REF!+#REF!))))))</f>
        <v>0</v>
      </c>
      <c r="T198" s="12" t="s">
        <v>7</v>
      </c>
      <c r="U198" s="12" t="s">
        <v>35</v>
      </c>
      <c r="V198" s="25">
        <f t="shared" si="97"/>
        <v>0</v>
      </c>
      <c r="W198" s="10">
        <f t="shared" si="103"/>
        <v>0</v>
      </c>
      <c r="Y198" s="1">
        <f>IF(L198="FULL",IF(L199=0,IF(L200=0,IF(#REF!=0,IF(#REF!=0,5,4),3),2),1),IF(L198=0,Y197,1))</f>
        <v>1</v>
      </c>
    </row>
    <row r="199" spans="1:25" ht="15" customHeight="1" outlineLevel="1" x14ac:dyDescent="0.25">
      <c r="A199" s="29" t="s">
        <v>20</v>
      </c>
      <c r="B199" s="29" t="s">
        <v>20</v>
      </c>
      <c r="C199" s="29" t="s">
        <v>20</v>
      </c>
      <c r="D199" s="29" t="s">
        <v>20</v>
      </c>
      <c r="E199" s="29" t="s">
        <v>20</v>
      </c>
      <c r="F199" s="29"/>
      <c r="G199" s="29" t="s">
        <v>20</v>
      </c>
      <c r="H199" s="29" t="s">
        <v>20</v>
      </c>
      <c r="I199" s="29" t="s">
        <v>20</v>
      </c>
      <c r="J199" s="29" t="s">
        <v>20</v>
      </c>
      <c r="K199" s="29" t="s">
        <v>20</v>
      </c>
      <c r="L199" s="29" t="s">
        <v>20</v>
      </c>
      <c r="M199" s="29" t="s">
        <v>20</v>
      </c>
      <c r="N199" s="29" t="s">
        <v>20</v>
      </c>
      <c r="O199" s="29" t="s">
        <v>20</v>
      </c>
      <c r="P199" s="29" t="s">
        <v>20</v>
      </c>
      <c r="Q199" s="29" t="s">
        <v>20</v>
      </c>
      <c r="R199" s="29" t="s">
        <v>20</v>
      </c>
      <c r="S199" s="29" t="s">
        <v>20</v>
      </c>
      <c r="T199" s="29" t="s">
        <v>20</v>
      </c>
      <c r="U199" s="29" t="s">
        <v>20</v>
      </c>
      <c r="V199" s="29" t="s">
        <v>20</v>
      </c>
      <c r="W199" s="29" t="s">
        <v>20</v>
      </c>
      <c r="Y199" s="1">
        <f>IF(L199="FULL",IF(L200=0,IF(#REF!=0,IF(#REF!=0,IF(#REF!=0,5,4),3),2),1),IF(L199=0,Y198,1))</f>
        <v>1</v>
      </c>
    </row>
    <row r="200" spans="1:25" ht="15.75" thickBot="1" x14ac:dyDescent="0.3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21"/>
      <c r="N200" s="21"/>
      <c r="O200" s="21"/>
      <c r="P200" s="21"/>
      <c r="Q200" s="31">
        <f>SUM(Q183:Q198)</f>
        <v>72</v>
      </c>
      <c r="R200" s="31"/>
      <c r="S200" s="31">
        <f>SUM(R183:R198)</f>
        <v>72</v>
      </c>
      <c r="T200" s="31"/>
      <c r="U200" s="20"/>
      <c r="V200" s="21">
        <f>IF(COUNTIF(V183:V198,  "Segment Error")=0, IF(AND(SUM(V183:V198)&lt;50, COUNTIF(P183:P198, "YES")=0), 50, SUM(V183:V198)), "Segment Error")</f>
        <v>72</v>
      </c>
      <c r="W200" s="22">
        <f>V200*2400000</f>
        <v>172800000</v>
      </c>
      <c r="Y200" s="1">
        <f>IF(L200="FULL",IF(#REF!=0,IF(#REF!=0,IF(#REF!=0,IF(#REF!=0,5,4),3),2),1),IF(L200=0,Y199,1))</f>
        <v>1</v>
      </c>
    </row>
    <row r="201" spans="1:25" ht="27" customHeight="1" x14ac:dyDescent="0.25">
      <c r="A201" s="44" t="s">
        <v>46</v>
      </c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Y201" s="27" t="s">
        <v>17</v>
      </c>
    </row>
    <row r="202" spans="1:25" ht="15" hidden="1" customHeight="1" x14ac:dyDescent="0.25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Y202" s="1">
        <v>1</v>
      </c>
    </row>
    <row r="203" spans="1:25" ht="15" hidden="1" customHeight="1" x14ac:dyDescent="0.25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Y203" s="1">
        <v>1</v>
      </c>
    </row>
    <row r="204" spans="1:25" ht="15" hidden="1" customHeight="1" thickBot="1" x14ac:dyDescent="0.3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Y204" s="1">
        <v>1</v>
      </c>
    </row>
    <row r="205" spans="1:25" ht="15.75" thickBot="1" x14ac:dyDescent="0.3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Y205" s="1">
        <v>1</v>
      </c>
    </row>
    <row r="206" spans="1:25" ht="30" customHeight="1" x14ac:dyDescent="0.25">
      <c r="A206" s="37" t="s">
        <v>0</v>
      </c>
      <c r="B206" s="37" t="s">
        <v>8</v>
      </c>
      <c r="C206" s="39" t="s">
        <v>29</v>
      </c>
      <c r="D206" s="37" t="s">
        <v>28</v>
      </c>
      <c r="E206" s="37" t="s">
        <v>28</v>
      </c>
      <c r="F206" s="39" t="s">
        <v>33</v>
      </c>
      <c r="G206" s="39" t="s">
        <v>16</v>
      </c>
      <c r="H206" s="37" t="s">
        <v>9</v>
      </c>
      <c r="I206" s="39" t="s">
        <v>12</v>
      </c>
      <c r="J206" s="41" t="s">
        <v>1</v>
      </c>
      <c r="K206" s="41"/>
      <c r="L206" s="41"/>
      <c r="M206" s="37" t="s">
        <v>14</v>
      </c>
      <c r="N206" s="39" t="s">
        <v>18</v>
      </c>
      <c r="O206" s="39" t="s">
        <v>32</v>
      </c>
      <c r="P206" s="39" t="s">
        <v>21</v>
      </c>
      <c r="Q206" s="39" t="s">
        <v>30</v>
      </c>
      <c r="R206" s="39" t="s">
        <v>19</v>
      </c>
      <c r="S206" s="39" t="s">
        <v>25</v>
      </c>
      <c r="T206" s="41" t="s">
        <v>3</v>
      </c>
      <c r="U206" s="37" t="s">
        <v>4</v>
      </c>
      <c r="V206" s="37" t="s">
        <v>6</v>
      </c>
      <c r="W206" s="42" t="s">
        <v>15</v>
      </c>
      <c r="Y206" s="1">
        <v>1</v>
      </c>
    </row>
    <row r="207" spans="1:25" ht="30" customHeight="1" thickBot="1" x14ac:dyDescent="0.3">
      <c r="A207" s="38"/>
      <c r="B207" s="38"/>
      <c r="C207" s="40"/>
      <c r="D207" s="38"/>
      <c r="E207" s="38"/>
      <c r="F207" s="40"/>
      <c r="G207" s="40"/>
      <c r="H207" s="38"/>
      <c r="I207" s="40"/>
      <c r="J207" s="26" t="s">
        <v>26</v>
      </c>
      <c r="K207" s="26" t="s">
        <v>27</v>
      </c>
      <c r="L207" s="2" t="s">
        <v>2</v>
      </c>
      <c r="M207" s="38"/>
      <c r="N207" s="40"/>
      <c r="O207" s="40"/>
      <c r="P207" s="40"/>
      <c r="Q207" s="40"/>
      <c r="R207" s="40"/>
      <c r="S207" s="40"/>
      <c r="T207" s="46"/>
      <c r="U207" s="38"/>
      <c r="V207" s="38"/>
      <c r="W207" s="43"/>
      <c r="Y207" s="1">
        <v>1</v>
      </c>
    </row>
    <row r="208" spans="1:25" ht="15.75" outlineLevel="1" thickBot="1" x14ac:dyDescent="0.3">
      <c r="A208" s="12" t="s">
        <v>5</v>
      </c>
      <c r="B208" s="16"/>
      <c r="C208" s="30">
        <v>4</v>
      </c>
      <c r="D208" s="11">
        <v>10</v>
      </c>
      <c r="E208" s="11">
        <f>IF(D208="4.5 C", 4.5, IF(D208="4.8 C", 4.8, D208))</f>
        <v>10</v>
      </c>
      <c r="F208" s="11">
        <f t="shared" ref="F208:F223" si="104">IF(L208="Full", IF(Y208=1, E208*C208, E208), IF(L208="Gap", C208, E208))</f>
        <v>40</v>
      </c>
      <c r="G208" s="2">
        <f>VLOOKUP('930-4'!D208,Table1[],2,0)</f>
        <v>10.75</v>
      </c>
      <c r="H208" s="13">
        <f>G208*3.14*2.54</f>
        <v>85.737700000000004</v>
      </c>
      <c r="I208" s="2">
        <f>ROUNDUP(H208, 0)</f>
        <v>86</v>
      </c>
      <c r="J208" s="12">
        <v>40</v>
      </c>
      <c r="K208" s="12">
        <v>50</v>
      </c>
      <c r="L208" s="16" t="s">
        <v>13</v>
      </c>
      <c r="M208" s="14">
        <f t="shared" ref="M208:M223" si="105">IF(L208="Gap",C208, IF(E208&lt;=3, 3*C208, IF(L208="Full", C208*E208/Y208, IF(J208=K208,"Error", IF(K208&lt;J208, C208*(I208+K208-J208)*H208*E208/(3.14*2.54*I208*G208), C208*(K208-J208)*H208*E208/(3.14*2.54*I208*G208))))))</f>
        <v>40</v>
      </c>
      <c r="N208" s="15">
        <f t="shared" ref="N208:N223" si="106">IF(L208=0,IF(L207=0,IF(L206=0,IF(L205=0,IF(L204=0,IF(L203=0,IF(L202="Segment",M208,0),IF(L203="Segment",M208,0)),IF(L204="Segment",M208,0)),IF(L205="Segment",M208,0)),IF(L206="Segment",M208,0)),IF(L207="Segment",M208,0)),M208)</f>
        <v>40</v>
      </c>
      <c r="O208" s="15" t="str">
        <f t="shared" ref="O208:O223" si="107">IF(OR(T208="REJ",T208="NOT DONE-CONTRACTOR"), "YES", "NO")</f>
        <v>NO</v>
      </c>
      <c r="P208" s="25" t="str">
        <f>IF(L208&lt;&gt;0, IF(L208="Gap", O208, IF(L209&lt;&gt;0,  IF(O208="NO", "NO", "YES"), IF(L210&lt;&gt;0, IF(AND(O208="NO", O209="NO"), "NO", "YES"), IF(L211&lt;&gt;0, IF(AND(O208="NO", O209="NO", O210="NO"), "NO", "YES"), IF(AND(O208="NO", O209="NO", O210="NO", O211="NO"), "NO", "YES"))))))</f>
        <v>NO</v>
      </c>
      <c r="Q208" s="25">
        <f>IF(L208=0,0,IF(L209&lt;&gt;0,N208,IF(L210&lt;&gt;0,N208+N209,IF(L211&lt;&gt;0,N208+N209+N210,IF(L212&lt;&gt;0,N208+N209+N210+N211,IF(L213&lt;&gt;0,N208+N209+N210+N211+N212,N208+N209+N210+N211+N212+N213))))))</f>
        <v>40</v>
      </c>
      <c r="R208" s="25">
        <f t="shared" ref="R208:R223" si="108">IF(OR(T208="ACC", T208="REP", T208="RS", T208="RT"), N208, 0)</f>
        <v>40</v>
      </c>
      <c r="S208" s="25">
        <f t="shared" ref="S208:S220" si="109">IF(L208=0, 0, IF(L209&lt;&gt;0, R208, IF(L210&lt;&gt;0, R208+R209, IF(L211&lt;&gt;0, R208+R209+R210, IF(L212&lt;&gt;0, R208+R209+R210+R211, IF(L213&lt;&gt;0, R208+R209+R210+R211+R212, R208+R209+R210+R211+R212+R213))))))</f>
        <v>40</v>
      </c>
      <c r="T208" s="12" t="s">
        <v>7</v>
      </c>
      <c r="U208" s="12" t="s">
        <v>35</v>
      </c>
      <c r="V208" s="25">
        <f t="shared" ref="V208:V223" si="110">IF(OR(S208=0, P208=FALSE), 0, IF(AND(Q208&gt;3*C208, Q208&gt;F208), "Segment Error", IF(OR(P208="YES", L208="Gap"), S208, IF(E208&lt;3, S208, IF(S208&gt;F208/2, F208, F208/2)))))</f>
        <v>40</v>
      </c>
      <c r="W208" s="10">
        <f>V208*2400000</f>
        <v>96000000</v>
      </c>
      <c r="Y208" s="1">
        <f t="shared" ref="Y208:Y221" si="111">IF(L208="FULL",IF(L209=0,IF(L210=0,IF(L211=0,IF(L212=0,5,4),3),2),1),IF(L208=0,Y207,1))</f>
        <v>1</v>
      </c>
    </row>
    <row r="209" spans="1:25" ht="15.75" outlineLevel="1" thickBot="1" x14ac:dyDescent="0.3">
      <c r="A209" s="12" t="s">
        <v>5</v>
      </c>
      <c r="B209" s="16"/>
      <c r="C209" s="30">
        <v>3</v>
      </c>
      <c r="D209" s="11">
        <v>2</v>
      </c>
      <c r="E209" s="11">
        <f t="shared" ref="E209:E223" si="112">IF(D209="4.5 C", 4.5, IF(D209="4.8 C", 4.8, D209))</f>
        <v>2</v>
      </c>
      <c r="F209" s="11">
        <f t="shared" si="104"/>
        <v>6</v>
      </c>
      <c r="G209" s="2">
        <f>VLOOKUP('930-4'!D209,Table1[],2,0)</f>
        <v>2.375</v>
      </c>
      <c r="H209" s="13">
        <f t="shared" ref="H209:H223" si="113">G209*3.14*2.54</f>
        <v>18.942050000000002</v>
      </c>
      <c r="I209" s="2">
        <f t="shared" ref="I209:I223" si="114">ROUNDUP(H209, 0)</f>
        <v>19</v>
      </c>
      <c r="J209" s="12">
        <v>4</v>
      </c>
      <c r="K209" s="12">
        <v>13</v>
      </c>
      <c r="L209" s="16" t="s">
        <v>13</v>
      </c>
      <c r="M209" s="14">
        <f t="shared" si="105"/>
        <v>9</v>
      </c>
      <c r="N209" s="15">
        <f t="shared" si="106"/>
        <v>9</v>
      </c>
      <c r="O209" s="15" t="str">
        <f t="shared" si="107"/>
        <v>NO</v>
      </c>
      <c r="P209" s="25" t="str">
        <f>IF(L209&lt;&gt;0, IF(L209="Gap", O209, IF(L210&lt;&gt;0,  IF(O209="NO", "NO", "YES"), IF(L211&lt;&gt;0, IF(AND(O209="NO", O210="NO"), "NO", "YES"), IF(L212&lt;&gt;0, IF(AND(O209="NO", O210="NO", O211="NO"), "NO", "YES"), IF(AND(O209="NO", O210="NO", O211="NO", O212="NO"), "NO", "YES"))))))</f>
        <v>NO</v>
      </c>
      <c r="Q209" s="25">
        <f t="shared" ref="Q209:Q220" si="115">IF(L209=0,0,IF(L210&lt;&gt;0,N209,IF(L211&lt;&gt;0,N209+N210,IF(L212&lt;&gt;0,N209+N210+N211,IF(L213&lt;&gt;0,N209+N210+N211+N212,IF(L214&lt;&gt;0,N209+N210+N211+N212+N213,N209+N210+N211+N212+N213+N214))))))</f>
        <v>9</v>
      </c>
      <c r="R209" s="25">
        <f t="shared" si="108"/>
        <v>9</v>
      </c>
      <c r="S209" s="25">
        <f t="shared" si="109"/>
        <v>9</v>
      </c>
      <c r="T209" s="12" t="s">
        <v>7</v>
      </c>
      <c r="U209" s="12" t="s">
        <v>35</v>
      </c>
      <c r="V209" s="25">
        <f t="shared" si="110"/>
        <v>9</v>
      </c>
      <c r="W209" s="10">
        <f t="shared" ref="W209:W223" si="116">V209*2400000</f>
        <v>21600000</v>
      </c>
      <c r="Y209" s="1">
        <f t="shared" si="111"/>
        <v>1</v>
      </c>
    </row>
    <row r="210" spans="1:25" ht="15.75" outlineLevel="1" thickBot="1" x14ac:dyDescent="0.3">
      <c r="A210" s="12" t="s">
        <v>5</v>
      </c>
      <c r="B210" s="16"/>
      <c r="C210" s="30">
        <v>0</v>
      </c>
      <c r="D210" s="11">
        <v>6</v>
      </c>
      <c r="E210" s="11">
        <f t="shared" si="112"/>
        <v>6</v>
      </c>
      <c r="F210" s="11">
        <f t="shared" si="104"/>
        <v>0</v>
      </c>
      <c r="G210" s="2">
        <f>VLOOKUP('930-4'!D210,Table1[],2,0)</f>
        <v>6.625</v>
      </c>
      <c r="H210" s="13">
        <f t="shared" si="113"/>
        <v>52.838350000000005</v>
      </c>
      <c r="I210" s="2">
        <f t="shared" si="114"/>
        <v>53</v>
      </c>
      <c r="J210" s="12">
        <v>4</v>
      </c>
      <c r="K210" s="12">
        <v>13</v>
      </c>
      <c r="L210" s="16" t="s">
        <v>13</v>
      </c>
      <c r="M210" s="14">
        <f t="shared" si="105"/>
        <v>0</v>
      </c>
      <c r="N210" s="15">
        <f t="shared" si="106"/>
        <v>0</v>
      </c>
      <c r="O210" s="15" t="str">
        <f t="shared" si="107"/>
        <v>NO</v>
      </c>
      <c r="P210" s="25" t="str">
        <f>IF(L210&lt;&gt;0, IF(L210="Gap", O210, IF(L211&lt;&gt;0,  IF(O210="NO", "NO", "YES"), IF(L212&lt;&gt;0, IF(AND(O210="NO", O211="NO"), "NO", "YES"), IF(L218&lt;&gt;0, IF(AND(O210="NO", O211="NO", O212="NO"), "NO", "YES"), IF(AND(O210="NO", O211="NO", O212="NO", O218="NO"), "NO", "YES"))))))</f>
        <v>NO</v>
      </c>
      <c r="Q210" s="25">
        <f t="shared" si="115"/>
        <v>0</v>
      </c>
      <c r="R210" s="25">
        <f t="shared" si="108"/>
        <v>0</v>
      </c>
      <c r="S210" s="25">
        <f t="shared" si="109"/>
        <v>0</v>
      </c>
      <c r="T210" s="12" t="s">
        <v>7</v>
      </c>
      <c r="U210" s="12" t="s">
        <v>35</v>
      </c>
      <c r="V210" s="25">
        <f t="shared" si="110"/>
        <v>0</v>
      </c>
      <c r="W210" s="10">
        <f t="shared" si="116"/>
        <v>0</v>
      </c>
      <c r="X210" s="33"/>
      <c r="Y210" s="1">
        <f t="shared" si="111"/>
        <v>1</v>
      </c>
    </row>
    <row r="211" spans="1:25" ht="15.75" outlineLevel="1" thickBot="1" x14ac:dyDescent="0.3">
      <c r="A211" s="12" t="s">
        <v>5</v>
      </c>
      <c r="B211" s="16"/>
      <c r="C211" s="30">
        <v>0</v>
      </c>
      <c r="D211" s="11">
        <v>3</v>
      </c>
      <c r="E211" s="11">
        <f t="shared" si="112"/>
        <v>3</v>
      </c>
      <c r="F211" s="11">
        <f t="shared" si="104"/>
        <v>0</v>
      </c>
      <c r="G211" s="2">
        <f>VLOOKUP('930-4'!D211,Table1[],2,0)</f>
        <v>3.5</v>
      </c>
      <c r="H211" s="13">
        <f t="shared" si="113"/>
        <v>27.9146</v>
      </c>
      <c r="I211" s="2">
        <f t="shared" si="114"/>
        <v>28</v>
      </c>
      <c r="J211" s="12">
        <v>20</v>
      </c>
      <c r="K211" s="12">
        <v>40</v>
      </c>
      <c r="L211" s="16" t="s">
        <v>13</v>
      </c>
      <c r="M211" s="14">
        <f t="shared" si="105"/>
        <v>0</v>
      </c>
      <c r="N211" s="15">
        <f t="shared" si="106"/>
        <v>0</v>
      </c>
      <c r="O211" s="15" t="str">
        <f t="shared" si="107"/>
        <v>NO</v>
      </c>
      <c r="P211" s="25" t="str">
        <f>IF(L211&lt;&gt;0, IF(L211="Gap", O211, IF(L212&lt;&gt;0,  IF(O211="NO", "NO", "YES"), IF(L218&lt;&gt;0, IF(AND(O211="NO", O212="NO"), "NO", "YES"), IF(L219&lt;&gt;0, IF(AND(O211="NO", O212="NO", O218="NO"), "NO", "YES"), IF(AND(O211="NO", O212="NO", O218="NO", O219="NO"), "NO", "YES"))))))</f>
        <v>NO</v>
      </c>
      <c r="Q211" s="25">
        <f t="shared" si="115"/>
        <v>0</v>
      </c>
      <c r="R211" s="25">
        <f t="shared" si="108"/>
        <v>0</v>
      </c>
      <c r="S211" s="25">
        <f t="shared" si="109"/>
        <v>0</v>
      </c>
      <c r="T211" s="12" t="s">
        <v>7</v>
      </c>
      <c r="U211" s="12" t="s">
        <v>35</v>
      </c>
      <c r="V211" s="25">
        <f t="shared" si="110"/>
        <v>0</v>
      </c>
      <c r="W211" s="10">
        <f t="shared" si="116"/>
        <v>0</v>
      </c>
      <c r="Y211" s="1">
        <f t="shared" si="111"/>
        <v>1</v>
      </c>
    </row>
    <row r="212" spans="1:25" ht="15.75" outlineLevel="1" thickBot="1" x14ac:dyDescent="0.3">
      <c r="A212" s="12" t="s">
        <v>5</v>
      </c>
      <c r="B212" s="16"/>
      <c r="C212" s="30">
        <v>0</v>
      </c>
      <c r="D212" s="11">
        <v>20</v>
      </c>
      <c r="E212" s="11">
        <f t="shared" si="112"/>
        <v>20</v>
      </c>
      <c r="F212" s="11">
        <f t="shared" si="104"/>
        <v>0</v>
      </c>
      <c r="G212" s="2">
        <f>VLOOKUP('930-4'!D212,Table1[],2,0)</f>
        <v>20</v>
      </c>
      <c r="H212" s="13">
        <f t="shared" si="113"/>
        <v>159.512</v>
      </c>
      <c r="I212" s="2">
        <f t="shared" si="114"/>
        <v>160</v>
      </c>
      <c r="J212" s="12">
        <v>65</v>
      </c>
      <c r="K212" s="12">
        <v>85</v>
      </c>
      <c r="L212" s="16" t="s">
        <v>13</v>
      </c>
      <c r="M212" s="14">
        <f t="shared" si="105"/>
        <v>0</v>
      </c>
      <c r="N212" s="15">
        <f t="shared" si="106"/>
        <v>0</v>
      </c>
      <c r="O212" s="15" t="str">
        <f t="shared" si="107"/>
        <v>NO</v>
      </c>
      <c r="P212" s="25" t="str">
        <f>IF(L212&lt;&gt;0, IF(L212="Gap", O212, IF(L218&lt;&gt;0,  IF(O212="NO", "NO", "YES"), IF(L219&lt;&gt;0, IF(AND(O212="NO", O218="NO"), "NO", "YES"), IF(L220&lt;&gt;0, IF(AND(O212="NO", O218="NO", O219="NO"), "NO", "YES"), IF(AND(O212="NO", O218="NO", O219="NO", O220="NO"), "NO", "YES"))))))</f>
        <v>NO</v>
      </c>
      <c r="Q212" s="25">
        <f t="shared" si="115"/>
        <v>0</v>
      </c>
      <c r="R212" s="25">
        <f t="shared" si="108"/>
        <v>0</v>
      </c>
      <c r="S212" s="25">
        <f t="shared" si="109"/>
        <v>0</v>
      </c>
      <c r="T212" s="12" t="s">
        <v>7</v>
      </c>
      <c r="U212" s="12" t="s">
        <v>35</v>
      </c>
      <c r="V212" s="25">
        <f t="shared" si="110"/>
        <v>0</v>
      </c>
      <c r="W212" s="10">
        <f t="shared" si="116"/>
        <v>0</v>
      </c>
      <c r="Y212" s="1">
        <f t="shared" si="111"/>
        <v>1</v>
      </c>
    </row>
    <row r="213" spans="1:25" ht="15.75" outlineLevel="1" thickBot="1" x14ac:dyDescent="0.3">
      <c r="A213" s="12" t="s">
        <v>5</v>
      </c>
      <c r="B213" s="32"/>
      <c r="C213" s="30">
        <v>0</v>
      </c>
      <c r="D213" s="11">
        <v>10</v>
      </c>
      <c r="E213" s="11">
        <f t="shared" si="112"/>
        <v>10</v>
      </c>
      <c r="F213" s="11">
        <f t="shared" si="104"/>
        <v>0</v>
      </c>
      <c r="G213" s="2">
        <f>VLOOKUP('930-4'!D213,Table1[],2,0)</f>
        <v>10.75</v>
      </c>
      <c r="H213" s="13">
        <f t="shared" si="113"/>
        <v>85.737700000000004</v>
      </c>
      <c r="I213" s="2">
        <f t="shared" si="114"/>
        <v>86</v>
      </c>
      <c r="J213" s="12">
        <v>40</v>
      </c>
      <c r="K213" s="12">
        <v>125</v>
      </c>
      <c r="L213" s="16" t="s">
        <v>13</v>
      </c>
      <c r="M213" s="14">
        <f t="shared" si="105"/>
        <v>0</v>
      </c>
      <c r="N213" s="15">
        <f t="shared" si="106"/>
        <v>0</v>
      </c>
      <c r="O213" s="15" t="str">
        <f t="shared" si="107"/>
        <v>NO</v>
      </c>
      <c r="P213" s="25" t="str">
        <f>IF(L213&lt;&gt;0, IF(L213="Gap", O213, IF(L214&lt;&gt;0,  IF(O213="NO", "NO", "YES"), IF(L215&lt;&gt;0, IF(AND(O213="NO", O214="NO"), "NO", "YES"), IF(L216&lt;&gt;0, IF(AND(O213="NO", O214="NO", O215="NO"), "NO", "YES"), IF(AND(O213="NO", O214="NO", O215="NO", O216="NO"), "NO", "YES"))))))</f>
        <v>NO</v>
      </c>
      <c r="Q213" s="25">
        <f t="shared" si="115"/>
        <v>0</v>
      </c>
      <c r="R213" s="25">
        <f t="shared" si="108"/>
        <v>0</v>
      </c>
      <c r="S213" s="25">
        <f t="shared" si="109"/>
        <v>0</v>
      </c>
      <c r="T213" s="12" t="s">
        <v>7</v>
      </c>
      <c r="U213" s="12" t="s">
        <v>35</v>
      </c>
      <c r="V213" s="25">
        <f t="shared" si="110"/>
        <v>0</v>
      </c>
      <c r="W213" s="10">
        <f t="shared" si="116"/>
        <v>0</v>
      </c>
      <c r="Y213" s="1">
        <f t="shared" si="111"/>
        <v>1</v>
      </c>
    </row>
    <row r="214" spans="1:25" ht="15.75" outlineLevel="1" thickBot="1" x14ac:dyDescent="0.3">
      <c r="A214" s="12" t="s">
        <v>5</v>
      </c>
      <c r="B214" s="16"/>
      <c r="C214" s="30">
        <v>0</v>
      </c>
      <c r="D214" s="11">
        <v>6</v>
      </c>
      <c r="E214" s="11">
        <f t="shared" si="112"/>
        <v>6</v>
      </c>
      <c r="F214" s="11">
        <f t="shared" si="104"/>
        <v>6</v>
      </c>
      <c r="G214" s="2">
        <f>VLOOKUP('930-4'!D214,Table1[],2,0)</f>
        <v>6.625</v>
      </c>
      <c r="H214" s="13">
        <f t="shared" si="113"/>
        <v>52.838350000000005</v>
      </c>
      <c r="I214" s="2">
        <f t="shared" si="114"/>
        <v>53</v>
      </c>
      <c r="J214" s="12">
        <v>40</v>
      </c>
      <c r="K214" s="12">
        <v>125</v>
      </c>
      <c r="L214" s="16" t="s">
        <v>34</v>
      </c>
      <c r="M214" s="14">
        <f t="shared" si="105"/>
        <v>0</v>
      </c>
      <c r="N214" s="15">
        <f t="shared" si="106"/>
        <v>0</v>
      </c>
      <c r="O214" s="15" t="str">
        <f t="shared" si="107"/>
        <v>NO</v>
      </c>
      <c r="P214" s="25" t="str">
        <f>IF(L214&lt;&gt;0, IF(L214="Gap", O214, IF(L215&lt;&gt;0,  IF(O214="NO", "NO", "YES"), IF(L216&lt;&gt;0, IF(AND(O214="NO", O215="NO"), "NO", "YES"), IF(L218&lt;&gt;0, IF(AND(O214="NO", O215="NO", O216="NO"), "NO", "YES"), IF(AND(O214="NO", O215="NO", O216="NO", O218="NO"), "NO", "YES"))))))</f>
        <v>NO</v>
      </c>
      <c r="Q214" s="25">
        <f t="shared" si="115"/>
        <v>0</v>
      </c>
      <c r="R214" s="25">
        <f t="shared" si="108"/>
        <v>0</v>
      </c>
      <c r="S214" s="25">
        <f t="shared" si="109"/>
        <v>0</v>
      </c>
      <c r="T214" s="12" t="s">
        <v>7</v>
      </c>
      <c r="U214" s="12" t="s">
        <v>35</v>
      </c>
      <c r="V214" s="25">
        <f t="shared" si="110"/>
        <v>0</v>
      </c>
      <c r="W214" s="10">
        <f t="shared" si="116"/>
        <v>0</v>
      </c>
      <c r="Y214" s="1">
        <f t="shared" si="111"/>
        <v>1</v>
      </c>
    </row>
    <row r="215" spans="1:25" ht="15.75" outlineLevel="1" thickBot="1" x14ac:dyDescent="0.3">
      <c r="A215" s="12" t="s">
        <v>5</v>
      </c>
      <c r="B215" s="16"/>
      <c r="C215" s="30">
        <v>0</v>
      </c>
      <c r="D215" s="11">
        <v>18</v>
      </c>
      <c r="E215" s="11">
        <f t="shared" si="112"/>
        <v>18</v>
      </c>
      <c r="F215" s="11">
        <f t="shared" si="104"/>
        <v>18</v>
      </c>
      <c r="G215" s="2">
        <f>VLOOKUP('930-4'!D215,Table1[],2,0)</f>
        <v>18</v>
      </c>
      <c r="H215" s="13">
        <f t="shared" si="113"/>
        <v>143.5608</v>
      </c>
      <c r="I215" s="2">
        <f t="shared" si="114"/>
        <v>144</v>
      </c>
      <c r="J215" s="12">
        <v>40</v>
      </c>
      <c r="K215" s="12">
        <v>45</v>
      </c>
      <c r="L215" s="34" t="s">
        <v>34</v>
      </c>
      <c r="M215" s="14">
        <f t="shared" si="105"/>
        <v>0</v>
      </c>
      <c r="N215" s="15">
        <f t="shared" si="106"/>
        <v>0</v>
      </c>
      <c r="O215" s="15" t="str">
        <f t="shared" si="107"/>
        <v>NO</v>
      </c>
      <c r="P215" s="25" t="str">
        <f>IF(L215&lt;&gt;0, IF(L215="Gap", O215, IF(L216&lt;&gt;0,  IF(O215="NO", "NO", "YES"), IF(L218&lt;&gt;0, IF(AND(O215="NO", O216="NO"), "NO", "YES"), IF(L219&lt;&gt;0, IF(AND(O215="NO", O216="NO", O218="NO"), "NO", "YES"), IF(AND(O215="NO", O216="NO", O218="NO", O219="NO"), "NO", "YES"))))))</f>
        <v>NO</v>
      </c>
      <c r="Q215" s="25">
        <f t="shared" si="115"/>
        <v>0</v>
      </c>
      <c r="R215" s="25">
        <f t="shared" si="108"/>
        <v>0</v>
      </c>
      <c r="S215" s="25">
        <f t="shared" si="109"/>
        <v>0</v>
      </c>
      <c r="T215" s="12" t="s">
        <v>7</v>
      </c>
      <c r="U215" s="12" t="s">
        <v>35</v>
      </c>
      <c r="V215" s="25">
        <f t="shared" si="110"/>
        <v>0</v>
      </c>
      <c r="W215" s="10">
        <f t="shared" si="116"/>
        <v>0</v>
      </c>
      <c r="Y215" s="1">
        <f t="shared" si="111"/>
        <v>1</v>
      </c>
    </row>
    <row r="216" spans="1:25" ht="15.75" outlineLevel="1" thickBot="1" x14ac:dyDescent="0.3">
      <c r="A216" s="16" t="s">
        <v>5</v>
      </c>
      <c r="B216" s="16"/>
      <c r="C216" s="30">
        <v>0</v>
      </c>
      <c r="D216" s="17">
        <v>18</v>
      </c>
      <c r="E216" s="11">
        <f t="shared" si="112"/>
        <v>18</v>
      </c>
      <c r="F216" s="11">
        <f t="shared" si="104"/>
        <v>18</v>
      </c>
      <c r="G216" s="2">
        <f>VLOOKUP('930-4'!D216,Table1[],2,0)</f>
        <v>18</v>
      </c>
      <c r="H216" s="19">
        <f t="shared" si="113"/>
        <v>143.5608</v>
      </c>
      <c r="I216" s="18">
        <f t="shared" si="114"/>
        <v>144</v>
      </c>
      <c r="J216" s="12">
        <v>40</v>
      </c>
      <c r="K216" s="12">
        <v>10</v>
      </c>
      <c r="L216" s="35"/>
      <c r="M216" s="14">
        <f t="shared" si="105"/>
        <v>0</v>
      </c>
      <c r="N216" s="15">
        <f t="shared" si="106"/>
        <v>0</v>
      </c>
      <c r="O216" s="15" t="str">
        <f t="shared" si="107"/>
        <v>NO</v>
      </c>
      <c r="P216" s="25" t="b">
        <f>IF(L216&lt;&gt;0, IF(L216="Gap", O216, IF(L218&lt;&gt;0,  IF(O216="NO", "NO", "YES"), IF(L219&lt;&gt;0, IF(AND(O216="NO", O218="NO"), "NO", "YES"), IF(L220&lt;&gt;0, IF(AND(O216="NO", O218="NO", O219="NO"), "NO", "YES"), IF(AND(O216="NO", O218="NO", O219="NO", O220="NO"), "NO", "YES"))))))</f>
        <v>0</v>
      </c>
      <c r="Q216" s="25">
        <f t="shared" si="115"/>
        <v>0</v>
      </c>
      <c r="R216" s="25">
        <f t="shared" si="108"/>
        <v>0</v>
      </c>
      <c r="S216" s="25">
        <f t="shared" si="109"/>
        <v>0</v>
      </c>
      <c r="T216" s="12" t="s">
        <v>7</v>
      </c>
      <c r="U216" s="12" t="s">
        <v>35</v>
      </c>
      <c r="V216" s="25">
        <f t="shared" si="110"/>
        <v>0</v>
      </c>
      <c r="W216" s="10">
        <f t="shared" si="116"/>
        <v>0</v>
      </c>
      <c r="Y216" s="1">
        <f t="shared" si="111"/>
        <v>1</v>
      </c>
    </row>
    <row r="217" spans="1:25" ht="15.75" outlineLevel="1" thickBot="1" x14ac:dyDescent="0.3">
      <c r="A217" s="12" t="s">
        <v>5</v>
      </c>
      <c r="B217" s="16"/>
      <c r="C217" s="30">
        <v>0</v>
      </c>
      <c r="D217" s="11">
        <v>10</v>
      </c>
      <c r="E217" s="11">
        <f t="shared" si="112"/>
        <v>10</v>
      </c>
      <c r="F217" s="11">
        <f t="shared" si="104"/>
        <v>0</v>
      </c>
      <c r="G217" s="2">
        <f>VLOOKUP('930-4'!D217,Table1[],2,0)</f>
        <v>10.75</v>
      </c>
      <c r="H217" s="13">
        <f t="shared" si="113"/>
        <v>85.737700000000004</v>
      </c>
      <c r="I217" s="2">
        <f t="shared" si="114"/>
        <v>86</v>
      </c>
      <c r="J217" s="12">
        <v>40</v>
      </c>
      <c r="K217" s="12">
        <v>35</v>
      </c>
      <c r="L217" s="16" t="s">
        <v>13</v>
      </c>
      <c r="M217" s="14">
        <f t="shared" si="105"/>
        <v>0</v>
      </c>
      <c r="N217" s="15">
        <f t="shared" si="106"/>
        <v>0</v>
      </c>
      <c r="O217" s="15" t="str">
        <f t="shared" si="107"/>
        <v>NO</v>
      </c>
      <c r="P217" s="25" t="str">
        <f>IF(L217&lt;&gt;0, IF(L217="Gap", O217, IF(L223&lt;&gt;0,  IF(O217="NO", "NO", "YES"), IF(L224&lt;&gt;0, IF(AND(O217="NO", O223="NO"), "NO", "YES"), IF(L225&lt;&gt;0, IF(AND(O217="NO", O223="NO", O224="NO"), "NO", "YES"), IF(AND(O217="NO", O223="NO", O224="NO", O225="NO"), "NO", "YES"))))))</f>
        <v>NO</v>
      </c>
      <c r="Q217" s="25">
        <f t="shared" si="115"/>
        <v>0</v>
      </c>
      <c r="R217" s="25">
        <f t="shared" si="108"/>
        <v>0</v>
      </c>
      <c r="S217" s="25">
        <f t="shared" si="109"/>
        <v>0</v>
      </c>
      <c r="T217" s="12" t="s">
        <v>7</v>
      </c>
      <c r="U217" s="12" t="s">
        <v>35</v>
      </c>
      <c r="V217" s="25">
        <f t="shared" si="110"/>
        <v>0</v>
      </c>
      <c r="W217" s="10">
        <f t="shared" si="116"/>
        <v>0</v>
      </c>
      <c r="Y217" s="1">
        <f t="shared" si="111"/>
        <v>1</v>
      </c>
    </row>
    <row r="218" spans="1:25" ht="15.75" outlineLevel="1" thickBot="1" x14ac:dyDescent="0.3">
      <c r="A218" s="12" t="s">
        <v>5</v>
      </c>
      <c r="B218" s="32"/>
      <c r="C218" s="30">
        <v>0</v>
      </c>
      <c r="D218" s="11">
        <v>10</v>
      </c>
      <c r="E218" s="11">
        <f t="shared" si="112"/>
        <v>10</v>
      </c>
      <c r="F218" s="11">
        <f t="shared" si="104"/>
        <v>10</v>
      </c>
      <c r="G218" s="2">
        <f>VLOOKUP('930-4'!D218,Table1[],2,0)</f>
        <v>10.75</v>
      </c>
      <c r="H218" s="13">
        <f t="shared" si="113"/>
        <v>85.737700000000004</v>
      </c>
      <c r="I218" s="2">
        <f t="shared" si="114"/>
        <v>86</v>
      </c>
      <c r="J218" s="12">
        <v>40</v>
      </c>
      <c r="K218" s="12">
        <v>50</v>
      </c>
      <c r="L218" s="34" t="s">
        <v>34</v>
      </c>
      <c r="M218" s="14">
        <f t="shared" si="105"/>
        <v>0</v>
      </c>
      <c r="N218" s="15">
        <f t="shared" si="106"/>
        <v>0</v>
      </c>
      <c r="O218" s="15" t="str">
        <f t="shared" si="107"/>
        <v>NO</v>
      </c>
      <c r="P218" s="25" t="str">
        <f>IF(L218&lt;&gt;0, IF(L218="Gap", O218, IF(L219&lt;&gt;0,  IF(O218="NO", "NO", "YES"), IF(L220&lt;&gt;0, IF(AND(O218="NO", O219="NO"), "NO", "YES"), IF(L221&lt;&gt;0, IF(AND(O218="NO", O219="NO", O220="NO"), "NO", "YES"), IF(AND(O218="NO", O219="NO", O220="NO", O221="NO"), "NO", "YES"))))))</f>
        <v>NO</v>
      </c>
      <c r="Q218" s="25">
        <f t="shared" si="115"/>
        <v>0</v>
      </c>
      <c r="R218" s="25">
        <f t="shared" si="108"/>
        <v>0</v>
      </c>
      <c r="S218" s="25">
        <f t="shared" si="109"/>
        <v>0</v>
      </c>
      <c r="T218" s="12" t="s">
        <v>7</v>
      </c>
      <c r="U218" s="12" t="s">
        <v>35</v>
      </c>
      <c r="V218" s="25">
        <f t="shared" si="110"/>
        <v>0</v>
      </c>
      <c r="W218" s="10">
        <f t="shared" si="116"/>
        <v>0</v>
      </c>
      <c r="Y218" s="1">
        <f t="shared" si="111"/>
        <v>1</v>
      </c>
    </row>
    <row r="219" spans="1:25" ht="15.75" outlineLevel="1" thickBot="1" x14ac:dyDescent="0.3">
      <c r="A219" s="12" t="s">
        <v>5</v>
      </c>
      <c r="B219" s="16"/>
      <c r="C219" s="30">
        <v>0</v>
      </c>
      <c r="D219" s="11">
        <v>10</v>
      </c>
      <c r="E219" s="11">
        <f t="shared" si="112"/>
        <v>10</v>
      </c>
      <c r="F219" s="11">
        <f t="shared" si="104"/>
        <v>10</v>
      </c>
      <c r="G219" s="2">
        <f>VLOOKUP('930-4'!D219,Table1[],2,0)</f>
        <v>10.75</v>
      </c>
      <c r="H219" s="13">
        <f t="shared" si="113"/>
        <v>85.737700000000004</v>
      </c>
      <c r="I219" s="2">
        <f t="shared" si="114"/>
        <v>86</v>
      </c>
      <c r="J219" s="12">
        <v>40</v>
      </c>
      <c r="K219" s="12">
        <v>80</v>
      </c>
      <c r="L219" s="35"/>
      <c r="M219" s="14">
        <f t="shared" si="105"/>
        <v>0</v>
      </c>
      <c r="N219" s="15">
        <f t="shared" si="106"/>
        <v>0</v>
      </c>
      <c r="O219" s="15" t="str">
        <f t="shared" si="107"/>
        <v>NO</v>
      </c>
      <c r="P219" s="25" t="b">
        <f>IF(L219&lt;&gt;0, IF(L219="Gap", O219, IF(L220&lt;&gt;0,  IF(O219="NO", "NO", "YES"), IF(L221&lt;&gt;0, IF(AND(O219="NO", O220="NO"), "NO", "YES"), IF(L223&lt;&gt;0, IF(AND(O219="NO", O220="NO", O221="NO"), "NO", "YES"), IF(AND(O219="NO", O220="NO", O221="NO", O223="NO"), "NO", "YES"))))))</f>
        <v>0</v>
      </c>
      <c r="Q219" s="25">
        <f t="shared" si="115"/>
        <v>0</v>
      </c>
      <c r="R219" s="25">
        <f t="shared" si="108"/>
        <v>0</v>
      </c>
      <c r="S219" s="25">
        <f t="shared" si="109"/>
        <v>0</v>
      </c>
      <c r="T219" s="12" t="s">
        <v>7</v>
      </c>
      <c r="U219" s="12" t="s">
        <v>35</v>
      </c>
      <c r="V219" s="25">
        <f t="shared" si="110"/>
        <v>0</v>
      </c>
      <c r="W219" s="10">
        <f t="shared" si="116"/>
        <v>0</v>
      </c>
      <c r="Y219" s="1">
        <f t="shared" si="111"/>
        <v>1</v>
      </c>
    </row>
    <row r="220" spans="1:25" ht="15.75" outlineLevel="1" thickBot="1" x14ac:dyDescent="0.3">
      <c r="A220" s="12" t="s">
        <v>5</v>
      </c>
      <c r="B220" s="16"/>
      <c r="C220" s="30">
        <v>0</v>
      </c>
      <c r="D220" s="11">
        <v>10</v>
      </c>
      <c r="E220" s="11">
        <f t="shared" si="112"/>
        <v>10</v>
      </c>
      <c r="F220" s="11">
        <f t="shared" si="104"/>
        <v>10</v>
      </c>
      <c r="G220" s="2">
        <f>VLOOKUP('930-4'!D220,Table1[],2,0)</f>
        <v>10.75</v>
      </c>
      <c r="H220" s="13">
        <f t="shared" si="113"/>
        <v>85.737700000000004</v>
      </c>
      <c r="I220" s="2">
        <f t="shared" si="114"/>
        <v>86</v>
      </c>
      <c r="J220" s="12">
        <v>40</v>
      </c>
      <c r="K220" s="12">
        <v>55</v>
      </c>
      <c r="L220" s="34" t="s">
        <v>34</v>
      </c>
      <c r="M220" s="14">
        <f t="shared" si="105"/>
        <v>0</v>
      </c>
      <c r="N220" s="15">
        <f t="shared" si="106"/>
        <v>0</v>
      </c>
      <c r="O220" s="15" t="str">
        <f t="shared" si="107"/>
        <v>NO</v>
      </c>
      <c r="P220" s="25" t="str">
        <f>IF(L220&lt;&gt;0, IF(L220="Gap", O220, IF(L221&lt;&gt;0,  IF(O220="NO", "NO", "YES"), IF(L223&lt;&gt;0, IF(AND(O220="NO", O221="NO"), "NO", "YES"), IF(L224&lt;&gt;0, IF(AND(O220="NO", O221="NO", O223="NO"), "NO", "YES"), IF(AND(O220="NO", O221="NO", O223="NO", O224="NO"), "NO", "YES"))))))</f>
        <v>NO</v>
      </c>
      <c r="Q220" s="25">
        <f t="shared" si="115"/>
        <v>0</v>
      </c>
      <c r="R220" s="25">
        <f t="shared" si="108"/>
        <v>0</v>
      </c>
      <c r="S220" s="25">
        <f t="shared" si="109"/>
        <v>0</v>
      </c>
      <c r="T220" s="12" t="s">
        <v>7</v>
      </c>
      <c r="U220" s="12" t="s">
        <v>35</v>
      </c>
      <c r="V220" s="25">
        <f t="shared" si="110"/>
        <v>0</v>
      </c>
      <c r="W220" s="10">
        <f t="shared" si="116"/>
        <v>0</v>
      </c>
      <c r="Y220" s="1">
        <f t="shared" si="111"/>
        <v>1</v>
      </c>
    </row>
    <row r="221" spans="1:25" ht="15.75" outlineLevel="1" thickBot="1" x14ac:dyDescent="0.3">
      <c r="A221" s="16" t="s">
        <v>5</v>
      </c>
      <c r="B221" s="16"/>
      <c r="C221" s="30">
        <v>0</v>
      </c>
      <c r="D221" s="17">
        <v>10</v>
      </c>
      <c r="E221" s="11">
        <f t="shared" si="112"/>
        <v>10</v>
      </c>
      <c r="F221" s="11">
        <f t="shared" si="104"/>
        <v>10</v>
      </c>
      <c r="G221" s="2">
        <f>VLOOKUP('930-4'!D221,Table1[],2,0)</f>
        <v>10.75</v>
      </c>
      <c r="H221" s="19">
        <f t="shared" si="113"/>
        <v>85.737700000000004</v>
      </c>
      <c r="I221" s="18">
        <f t="shared" si="114"/>
        <v>86</v>
      </c>
      <c r="J221" s="12">
        <v>40</v>
      </c>
      <c r="K221" s="12">
        <v>75</v>
      </c>
      <c r="L221" s="35"/>
      <c r="M221" s="14">
        <f t="shared" si="105"/>
        <v>0</v>
      </c>
      <c r="N221" s="15">
        <f t="shared" si="106"/>
        <v>0</v>
      </c>
      <c r="O221" s="15" t="str">
        <f t="shared" si="107"/>
        <v>NO</v>
      </c>
      <c r="P221" s="25" t="b">
        <f>IF(L221&lt;&gt;0, IF(L221="Gap", O221, IF(L223&lt;&gt;0,  IF(O221="NO", "NO", "YES"), IF(L224&lt;&gt;0, IF(AND(O221="NO", O223="NO"), "NO", "YES"), IF(L225&lt;&gt;0, IF(AND(O221="NO", O223="NO", O224="NO"), "NO", "YES"), IF(AND(O221="NO", O223="NO", O224="NO", O225="NO"), "NO", "YES"))))))</f>
        <v>0</v>
      </c>
      <c r="Q221" s="25">
        <f>IF(L221=0,0,IF(L222&lt;&gt;0,N221,IF(L223&lt;&gt;0,N221+N222,IF(L224&lt;&gt;0,N221+N222+N223,IF(L225&lt;&gt;0,N221+N222+N223+N224,IF(#REF!&lt;&gt;0,N221+N222+N223+N224+N225,N221+N222+N223+N224+N225+#REF!))))))</f>
        <v>0</v>
      </c>
      <c r="R221" s="25">
        <f t="shared" si="108"/>
        <v>0</v>
      </c>
      <c r="S221" s="25">
        <f>IF(L221=0, 0, IF(L222&lt;&gt;0, R221, IF(L223&lt;&gt;0, R221+R222, IF(L224&lt;&gt;0, R221+R222+R223, IF(L225&lt;&gt;0, R221+R222+R223+R224, IF(#REF!&lt;&gt;0, R221+R222+R223+R224+R225, R221+R222+R223+R224+R225+#REF!))))))</f>
        <v>0</v>
      </c>
      <c r="T221" s="12" t="s">
        <v>7</v>
      </c>
      <c r="U221" s="12" t="s">
        <v>35</v>
      </c>
      <c r="V221" s="25">
        <f t="shared" si="110"/>
        <v>0</v>
      </c>
      <c r="W221" s="10">
        <f t="shared" si="116"/>
        <v>0</v>
      </c>
      <c r="Y221" s="1">
        <f t="shared" si="111"/>
        <v>1</v>
      </c>
    </row>
    <row r="222" spans="1:25" ht="15.75" outlineLevel="1" thickBot="1" x14ac:dyDescent="0.3">
      <c r="A222" s="16"/>
      <c r="B222" s="16"/>
      <c r="C222" s="30">
        <v>0</v>
      </c>
      <c r="D222" s="17">
        <v>10</v>
      </c>
      <c r="E222" s="11">
        <f t="shared" si="112"/>
        <v>10</v>
      </c>
      <c r="F222" s="11">
        <f t="shared" si="104"/>
        <v>0</v>
      </c>
      <c r="G222" s="2">
        <f>VLOOKUP('930-4'!D222,Table1[],2,0)</f>
        <v>10.75</v>
      </c>
      <c r="H222" s="19">
        <f t="shared" si="113"/>
        <v>85.737700000000004</v>
      </c>
      <c r="I222" s="18">
        <f t="shared" si="114"/>
        <v>86</v>
      </c>
      <c r="J222" s="12">
        <v>40</v>
      </c>
      <c r="K222" s="12">
        <v>45</v>
      </c>
      <c r="L222" s="16" t="s">
        <v>13</v>
      </c>
      <c r="M222" s="14">
        <f t="shared" si="105"/>
        <v>0</v>
      </c>
      <c r="N222" s="15">
        <f t="shared" si="106"/>
        <v>0</v>
      </c>
      <c r="O222" s="15" t="str">
        <f t="shared" si="107"/>
        <v>NO</v>
      </c>
      <c r="P222" s="25" t="str">
        <f>IF(L222&lt;&gt;0, IF(L222="Gap", O222, IF(L223&lt;&gt;0,  IF(O222="NO", "NO", "YES"), IF(L224&lt;&gt;0, IF(AND(O222="NO", O223="NO"), "NO", "YES"), IF(L225&lt;&gt;0, IF(AND(O222="NO", O223="NO", O224="NO"), "NO", "YES"), IF(AND(O222="NO", O223="NO", O224="NO", O225="NO"), "NO", "YES"))))))</f>
        <v>NO</v>
      </c>
      <c r="Q222" s="25">
        <f>IF(L222=0,0,IF(L223&lt;&gt;0,N222,IF(L224&lt;&gt;0,N222+N223,IF(L225&lt;&gt;0,N222+N223+N224,IF(#REF!&lt;&gt;0,N222+N223+N224+N225,IF(#REF!&lt;&gt;0,N222+N223+N224+N225+#REF!,N222+N223+N224+N225+#REF!+#REF!))))))</f>
        <v>0</v>
      </c>
      <c r="R222" s="25">
        <f t="shared" si="108"/>
        <v>0</v>
      </c>
      <c r="S222" s="25">
        <f>IF(L222=0, 0, IF(L223&lt;&gt;0, R222, IF(L224&lt;&gt;0, R222+R223, IF(L225&lt;&gt;0, R222+R223+R224, IF(#REF!&lt;&gt;0, R222+R223+R224+R225, IF(#REF!&lt;&gt;0, R222+R223+R224+R225+#REF!, R222+R223+R224+R225+#REF!+#REF!))))))</f>
        <v>0</v>
      </c>
      <c r="T222" s="12" t="s">
        <v>7</v>
      </c>
      <c r="U222" s="12" t="s">
        <v>35</v>
      </c>
      <c r="V222" s="25">
        <f t="shared" si="110"/>
        <v>0</v>
      </c>
      <c r="W222" s="10">
        <f t="shared" si="116"/>
        <v>0</v>
      </c>
      <c r="Y222" s="1">
        <f>IF(L222="FULL",IF(L223=0,IF(L224=0,IF(L225=0,IF(#REF!=0,5,4),3),2),1),IF(L222=0,Y221,1))</f>
        <v>1</v>
      </c>
    </row>
    <row r="223" spans="1:25" outlineLevel="1" x14ac:dyDescent="0.25">
      <c r="A223" s="16"/>
      <c r="B223" s="16"/>
      <c r="C223" s="30">
        <v>0</v>
      </c>
      <c r="D223" s="17">
        <v>2</v>
      </c>
      <c r="E223" s="11">
        <f t="shared" si="112"/>
        <v>2</v>
      </c>
      <c r="F223" s="11">
        <f t="shared" si="104"/>
        <v>0</v>
      </c>
      <c r="G223" s="2">
        <f>VLOOKUP('930-4'!D223,Table1[],2,0)</f>
        <v>2.375</v>
      </c>
      <c r="H223" s="19">
        <f t="shared" si="113"/>
        <v>18.942050000000002</v>
      </c>
      <c r="I223" s="18">
        <f t="shared" si="114"/>
        <v>19</v>
      </c>
      <c r="J223" s="12">
        <v>40</v>
      </c>
      <c r="K223" s="12">
        <v>45</v>
      </c>
      <c r="L223" s="16" t="s">
        <v>13</v>
      </c>
      <c r="M223" s="14">
        <f t="shared" si="105"/>
        <v>0</v>
      </c>
      <c r="N223" s="15">
        <f t="shared" si="106"/>
        <v>0</v>
      </c>
      <c r="O223" s="15" t="str">
        <f t="shared" si="107"/>
        <v>NO</v>
      </c>
      <c r="P223" s="25" t="str">
        <f>IF(L223&lt;&gt;0, IF(L223="Gap", O223, IF(L224&lt;&gt;0,  IF(O223="NO", "NO", "YES"), IF(L225&lt;&gt;0, IF(AND(O223="NO", O224="NO"), "NO", "YES"), IF(#REF!&lt;&gt;0, IF(AND(O223="NO", O224="NO", O225="NO"), "NO", "YES"), IF(AND(O223="NO", O224="NO", O225="NO",#REF!= "NO"), "NO", "YES"))))))</f>
        <v>NO</v>
      </c>
      <c r="Q223" s="25">
        <f>IF(L223=0,0,IF(L224&lt;&gt;0,N223,IF(L225&lt;&gt;0,N223+N224,IF(#REF!&lt;&gt;0,N223+N224+N225,IF(#REF!&lt;&gt;0,N223+N224+N225+#REF!,IF(#REF!&lt;&gt;0,N223+N224+N225+#REF!+#REF!,N223+N224+N225+#REF!+#REF!+#REF!))))))</f>
        <v>0</v>
      </c>
      <c r="R223" s="25">
        <f t="shared" si="108"/>
        <v>0</v>
      </c>
      <c r="S223" s="25">
        <f>IF(L223=0, 0, IF(L224&lt;&gt;0, R223, IF(L225&lt;&gt;0, R223+R224, IF(#REF!&lt;&gt;0, R223+R224+R225, IF(#REF!&lt;&gt;0, R223+R224+R225+#REF!, IF(#REF!&lt;&gt;0, R223+R224+R225+#REF!+#REF!, R223+R224+R225+#REF!+#REF!+#REF!))))))</f>
        <v>0</v>
      </c>
      <c r="T223" s="12" t="s">
        <v>7</v>
      </c>
      <c r="U223" s="12" t="s">
        <v>35</v>
      </c>
      <c r="V223" s="25">
        <f t="shared" si="110"/>
        <v>0</v>
      </c>
      <c r="W223" s="10">
        <f t="shared" si="116"/>
        <v>0</v>
      </c>
      <c r="Y223" s="1">
        <f>IF(L223="FULL",IF(L224=0,IF(L225=0,IF(#REF!=0,IF(#REF!=0,5,4),3),2),1),IF(L223=0,Y222,1))</f>
        <v>1</v>
      </c>
    </row>
    <row r="224" spans="1:25" ht="15" customHeight="1" outlineLevel="1" x14ac:dyDescent="0.25">
      <c r="A224" s="29" t="s">
        <v>20</v>
      </c>
      <c r="B224" s="29" t="s">
        <v>20</v>
      </c>
      <c r="C224" s="29" t="s">
        <v>20</v>
      </c>
      <c r="D224" s="29" t="s">
        <v>20</v>
      </c>
      <c r="E224" s="29" t="s">
        <v>20</v>
      </c>
      <c r="F224" s="29"/>
      <c r="G224" s="29" t="s">
        <v>20</v>
      </c>
      <c r="H224" s="29" t="s">
        <v>20</v>
      </c>
      <c r="I224" s="29" t="s">
        <v>20</v>
      </c>
      <c r="J224" s="29" t="s">
        <v>20</v>
      </c>
      <c r="K224" s="29" t="s">
        <v>20</v>
      </c>
      <c r="L224" s="29" t="s">
        <v>20</v>
      </c>
      <c r="M224" s="29" t="s">
        <v>20</v>
      </c>
      <c r="N224" s="29" t="s">
        <v>20</v>
      </c>
      <c r="O224" s="29" t="s">
        <v>20</v>
      </c>
      <c r="P224" s="29" t="s">
        <v>20</v>
      </c>
      <c r="Q224" s="29" t="s">
        <v>20</v>
      </c>
      <c r="R224" s="29" t="s">
        <v>20</v>
      </c>
      <c r="S224" s="29" t="s">
        <v>20</v>
      </c>
      <c r="T224" s="29" t="s">
        <v>20</v>
      </c>
      <c r="U224" s="29" t="s">
        <v>20</v>
      </c>
      <c r="V224" s="29" t="s">
        <v>20</v>
      </c>
      <c r="W224" s="29" t="s">
        <v>20</v>
      </c>
      <c r="Y224" s="1">
        <f>IF(L224="FULL",IF(L225=0,IF(#REF!=0,IF(#REF!=0,IF(#REF!=0,5,4),3),2),1),IF(L224=0,Y223,1))</f>
        <v>1</v>
      </c>
    </row>
    <row r="225" spans="1:25" ht="15.75" thickBot="1" x14ac:dyDescent="0.3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21"/>
      <c r="N225" s="21"/>
      <c r="O225" s="21"/>
      <c r="P225" s="21"/>
      <c r="Q225" s="31">
        <f>SUM(Q208:Q223)</f>
        <v>49</v>
      </c>
      <c r="R225" s="31"/>
      <c r="S225" s="31">
        <f>SUM(R208:R223)</f>
        <v>49</v>
      </c>
      <c r="T225" s="31"/>
      <c r="U225" s="20"/>
      <c r="V225" s="21">
        <f>IF(COUNTIF(V208:V223,  "Segment Error")=0, IF(AND(SUM(V208:V223)&lt;50, COUNTIF(P208:P223, "YES")=0), 50, SUM(V208:V223)), "Segment Error")</f>
        <v>50</v>
      </c>
      <c r="W225" s="22">
        <f>V225*2400000</f>
        <v>120000000</v>
      </c>
      <c r="Y225" s="1">
        <f>IF(L225="FULL",IF(#REF!=0,IF(#REF!=0,IF(#REF!=0,IF(#REF!=0,5,4),3),2),1),IF(L225=0,Y224,1))</f>
        <v>1</v>
      </c>
    </row>
    <row r="226" spans="1:25" ht="27" customHeight="1" x14ac:dyDescent="0.25">
      <c r="A226" s="44" t="s">
        <v>47</v>
      </c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Y226" s="27" t="s">
        <v>17</v>
      </c>
    </row>
    <row r="227" spans="1:25" ht="15" hidden="1" customHeight="1" x14ac:dyDescent="0.25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Y227" s="1">
        <v>1</v>
      </c>
    </row>
    <row r="228" spans="1:25" ht="15" hidden="1" customHeight="1" x14ac:dyDescent="0.25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Y228" s="1">
        <v>1</v>
      </c>
    </row>
    <row r="229" spans="1:25" ht="15" hidden="1" customHeight="1" thickBot="1" x14ac:dyDescent="0.3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Y229" s="1">
        <v>1</v>
      </c>
    </row>
    <row r="230" spans="1:25" ht="15.75" thickBot="1" x14ac:dyDescent="0.3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Y230" s="1">
        <v>1</v>
      </c>
    </row>
    <row r="231" spans="1:25" ht="30" customHeight="1" x14ac:dyDescent="0.25">
      <c r="A231" s="37" t="s">
        <v>0</v>
      </c>
      <c r="B231" s="37" t="s">
        <v>8</v>
      </c>
      <c r="C231" s="39" t="s">
        <v>29</v>
      </c>
      <c r="D231" s="37" t="s">
        <v>28</v>
      </c>
      <c r="E231" s="37" t="s">
        <v>28</v>
      </c>
      <c r="F231" s="39" t="s">
        <v>33</v>
      </c>
      <c r="G231" s="39" t="s">
        <v>16</v>
      </c>
      <c r="H231" s="37" t="s">
        <v>9</v>
      </c>
      <c r="I231" s="39" t="s">
        <v>12</v>
      </c>
      <c r="J231" s="41" t="s">
        <v>1</v>
      </c>
      <c r="K231" s="41"/>
      <c r="L231" s="41"/>
      <c r="M231" s="37" t="s">
        <v>14</v>
      </c>
      <c r="N231" s="39" t="s">
        <v>18</v>
      </c>
      <c r="O231" s="39" t="s">
        <v>32</v>
      </c>
      <c r="P231" s="39" t="s">
        <v>21</v>
      </c>
      <c r="Q231" s="39" t="s">
        <v>30</v>
      </c>
      <c r="R231" s="39" t="s">
        <v>19</v>
      </c>
      <c r="S231" s="39" t="s">
        <v>25</v>
      </c>
      <c r="T231" s="41" t="s">
        <v>3</v>
      </c>
      <c r="U231" s="37" t="s">
        <v>4</v>
      </c>
      <c r="V231" s="37" t="s">
        <v>6</v>
      </c>
      <c r="W231" s="42" t="s">
        <v>15</v>
      </c>
      <c r="Y231" s="1">
        <v>1</v>
      </c>
    </row>
    <row r="232" spans="1:25" ht="30" customHeight="1" thickBot="1" x14ac:dyDescent="0.3">
      <c r="A232" s="38"/>
      <c r="B232" s="38"/>
      <c r="C232" s="40"/>
      <c r="D232" s="38"/>
      <c r="E232" s="38"/>
      <c r="F232" s="40"/>
      <c r="G232" s="40"/>
      <c r="H232" s="38"/>
      <c r="I232" s="40"/>
      <c r="J232" s="26" t="s">
        <v>26</v>
      </c>
      <c r="K232" s="26" t="s">
        <v>27</v>
      </c>
      <c r="L232" s="2" t="s">
        <v>2</v>
      </c>
      <c r="M232" s="38"/>
      <c r="N232" s="40"/>
      <c r="O232" s="40"/>
      <c r="P232" s="40"/>
      <c r="Q232" s="40"/>
      <c r="R232" s="40"/>
      <c r="S232" s="40"/>
      <c r="T232" s="46"/>
      <c r="U232" s="38"/>
      <c r="V232" s="38"/>
      <c r="W232" s="43"/>
      <c r="Y232" s="1">
        <v>1</v>
      </c>
    </row>
    <row r="233" spans="1:25" ht="15.75" outlineLevel="1" thickBot="1" x14ac:dyDescent="0.3">
      <c r="A233" s="12" t="s">
        <v>5</v>
      </c>
      <c r="B233" s="16"/>
      <c r="C233" s="30">
        <v>1</v>
      </c>
      <c r="D233" s="11">
        <v>10</v>
      </c>
      <c r="E233" s="11">
        <f>IF(D233="4.5 C", 4.5, IF(D233="4.8 C", 4.8, D233))</f>
        <v>10</v>
      </c>
      <c r="F233" s="11">
        <f t="shared" ref="F233:F248" si="117">IF(L233="Full", IF(Y233=1, E233*C233, E233), IF(L233="Gap", C233, E233))</f>
        <v>10</v>
      </c>
      <c r="G233" s="2">
        <f>VLOOKUP('930-4'!D233,Table1[],2,0)</f>
        <v>10.75</v>
      </c>
      <c r="H233" s="13">
        <f>G233*3.14*2.54</f>
        <v>85.737700000000004</v>
      </c>
      <c r="I233" s="2">
        <f>ROUNDUP(H233, 0)</f>
        <v>86</v>
      </c>
      <c r="J233" s="12">
        <v>40</v>
      </c>
      <c r="K233" s="12">
        <v>50</v>
      </c>
      <c r="L233" s="16" t="s">
        <v>13</v>
      </c>
      <c r="M233" s="14">
        <f t="shared" ref="M233:M248" si="118">IF(L233="Gap",C233, IF(E233&lt;=3, 3*C233, IF(L233="Full", C233*E233/Y233, IF(J233=K233,"Error", IF(K233&lt;J233, C233*(I233+K233-J233)*H233*E233/(3.14*2.54*I233*G233), C233*(K233-J233)*H233*E233/(3.14*2.54*I233*G233))))))</f>
        <v>10</v>
      </c>
      <c r="N233" s="15">
        <f t="shared" ref="N233:N248" si="119">IF(L233=0,IF(L232=0,IF(L231=0,IF(L230=0,IF(L229=0,IF(L228=0,IF(L227="Segment",M233,0),IF(L228="Segment",M233,0)),IF(L229="Segment",M233,0)),IF(L230="Segment",M233,0)),IF(L231="Segment",M233,0)),IF(L232="Segment",M233,0)),M233)</f>
        <v>10</v>
      </c>
      <c r="O233" s="15" t="str">
        <f t="shared" ref="O233:O248" si="120">IF(OR(T233="REJ",T233="NOT DONE-CONTRACTOR"), "YES", "NO")</f>
        <v>NO</v>
      </c>
      <c r="P233" s="25" t="str">
        <f>IF(L233&lt;&gt;0, IF(L233="Gap", O233, IF(L234&lt;&gt;0,  IF(O233="NO", "NO", "YES"), IF(L235&lt;&gt;0, IF(AND(O233="NO", O234="NO"), "NO", "YES"), IF(L236&lt;&gt;0, IF(AND(O233="NO", O234="NO", O235="NO"), "NO", "YES"), IF(AND(O233="NO", O234="NO", O235="NO", O236="NO"), "NO", "YES"))))))</f>
        <v>NO</v>
      </c>
      <c r="Q233" s="25">
        <f>IF(L233=0,0,IF(L234&lt;&gt;0,N233,IF(L235&lt;&gt;0,N233+N234,IF(L236&lt;&gt;0,N233+N234+N235,IF(L237&lt;&gt;0,N233+N234+N235+N236,IF(L238&lt;&gt;0,N233+N234+N235+N236+N237,N233+N234+N235+N236+N237+N238))))))</f>
        <v>10</v>
      </c>
      <c r="R233" s="25">
        <f t="shared" ref="R233:R248" si="121">IF(OR(T233="ACC", T233="REP", T233="RS", T233="RT"), N233, 0)</f>
        <v>10</v>
      </c>
      <c r="S233" s="25">
        <f t="shared" ref="S233:S245" si="122">IF(L233=0, 0, IF(L234&lt;&gt;0, R233, IF(L235&lt;&gt;0, R233+R234, IF(L236&lt;&gt;0, R233+R234+R235, IF(L237&lt;&gt;0, R233+R234+R235+R236, IF(L238&lt;&gt;0, R233+R234+R235+R236+R237, R233+R234+R235+R236+R237+R238))))))</f>
        <v>10</v>
      </c>
      <c r="T233" s="12" t="s">
        <v>7</v>
      </c>
      <c r="U233" s="12" t="s">
        <v>35</v>
      </c>
      <c r="V233" s="25">
        <f t="shared" ref="V233:V248" si="123">IF(OR(S233=0, P233=FALSE), 0, IF(AND(Q233&gt;3*C233, Q233&gt;F233), "Segment Error", IF(OR(P233="YES", L233="Gap"), S233, IF(E233&lt;3, S233, IF(S233&gt;F233/2, F233, F233/2)))))</f>
        <v>10</v>
      </c>
      <c r="W233" s="10">
        <f>V233*2400000</f>
        <v>24000000</v>
      </c>
      <c r="Y233" s="1">
        <f t="shared" ref="Y233:Y246" si="124">IF(L233="FULL",IF(L234=0,IF(L235=0,IF(L236=0,IF(L237=0,5,4),3),2),1),IF(L233=0,Y232,1))</f>
        <v>1</v>
      </c>
    </row>
    <row r="234" spans="1:25" ht="15.75" outlineLevel="1" thickBot="1" x14ac:dyDescent="0.3">
      <c r="A234" s="12" t="s">
        <v>5</v>
      </c>
      <c r="B234" s="16"/>
      <c r="C234" s="30">
        <v>6</v>
      </c>
      <c r="D234" s="11">
        <v>8</v>
      </c>
      <c r="E234" s="11">
        <f t="shared" ref="E234:E248" si="125">IF(D234="4.5 C", 4.5, IF(D234="4.8 C", 4.8, D234))</f>
        <v>8</v>
      </c>
      <c r="F234" s="11">
        <f t="shared" si="117"/>
        <v>48</v>
      </c>
      <c r="G234" s="2">
        <f>VLOOKUP('930-4'!D234,Table1[],2,0)</f>
        <v>8.625</v>
      </c>
      <c r="H234" s="13">
        <f t="shared" ref="H234:H248" si="126">G234*3.14*2.54</f>
        <v>68.789550000000006</v>
      </c>
      <c r="I234" s="2">
        <f t="shared" ref="I234:I248" si="127">ROUNDUP(H234, 0)</f>
        <v>69</v>
      </c>
      <c r="J234" s="12">
        <v>4</v>
      </c>
      <c r="K234" s="12">
        <v>13</v>
      </c>
      <c r="L234" s="16" t="s">
        <v>13</v>
      </c>
      <c r="M234" s="14">
        <f t="shared" si="118"/>
        <v>48</v>
      </c>
      <c r="N234" s="15">
        <f t="shared" si="119"/>
        <v>48</v>
      </c>
      <c r="O234" s="15" t="str">
        <f t="shared" si="120"/>
        <v>NO</v>
      </c>
      <c r="P234" s="25" t="str">
        <f>IF(L234&lt;&gt;0, IF(L234="Gap", O234, IF(L235&lt;&gt;0,  IF(O234="NO", "NO", "YES"), IF(L236&lt;&gt;0, IF(AND(O234="NO", O235="NO"), "NO", "YES"), IF(L237&lt;&gt;0, IF(AND(O234="NO", O235="NO", O236="NO"), "NO", "YES"), IF(AND(O234="NO", O235="NO", O236="NO", O237="NO"), "NO", "YES"))))))</f>
        <v>NO</v>
      </c>
      <c r="Q234" s="25">
        <f t="shared" ref="Q234:Q245" si="128">IF(L234=0,0,IF(L235&lt;&gt;0,N234,IF(L236&lt;&gt;0,N234+N235,IF(L237&lt;&gt;0,N234+N235+N236,IF(L238&lt;&gt;0,N234+N235+N236+N237,IF(L239&lt;&gt;0,N234+N235+N236+N237+N238,N234+N235+N236+N237+N238+N239))))))</f>
        <v>48</v>
      </c>
      <c r="R234" s="25">
        <f t="shared" si="121"/>
        <v>48</v>
      </c>
      <c r="S234" s="25">
        <f t="shared" si="122"/>
        <v>48</v>
      </c>
      <c r="T234" s="12" t="s">
        <v>7</v>
      </c>
      <c r="U234" s="12" t="s">
        <v>35</v>
      </c>
      <c r="V234" s="25">
        <f t="shared" si="123"/>
        <v>48</v>
      </c>
      <c r="W234" s="10">
        <f t="shared" ref="W234:W248" si="129">V234*2400000</f>
        <v>115200000</v>
      </c>
      <c r="Y234" s="1">
        <f t="shared" si="124"/>
        <v>1</v>
      </c>
    </row>
    <row r="235" spans="1:25" ht="15.75" outlineLevel="1" thickBot="1" x14ac:dyDescent="0.3">
      <c r="A235" s="12" t="s">
        <v>5</v>
      </c>
      <c r="B235" s="16"/>
      <c r="C235" s="30">
        <v>0</v>
      </c>
      <c r="D235" s="11">
        <v>24</v>
      </c>
      <c r="E235" s="11">
        <f t="shared" si="125"/>
        <v>24</v>
      </c>
      <c r="F235" s="11">
        <f t="shared" si="117"/>
        <v>0</v>
      </c>
      <c r="G235" s="2">
        <f>VLOOKUP('930-4'!D235,Table1[],2,0)</f>
        <v>24</v>
      </c>
      <c r="H235" s="13">
        <f t="shared" si="126"/>
        <v>191.4144</v>
      </c>
      <c r="I235" s="2">
        <f t="shared" si="127"/>
        <v>192</v>
      </c>
      <c r="J235" s="12">
        <v>4</v>
      </c>
      <c r="K235" s="12">
        <v>13</v>
      </c>
      <c r="L235" s="16" t="s">
        <v>13</v>
      </c>
      <c r="M235" s="14">
        <f t="shared" si="118"/>
        <v>0</v>
      </c>
      <c r="N235" s="15">
        <f t="shared" si="119"/>
        <v>0</v>
      </c>
      <c r="O235" s="15" t="str">
        <f t="shared" si="120"/>
        <v>NO</v>
      </c>
      <c r="P235" s="25" t="str">
        <f>IF(L235&lt;&gt;0, IF(L235="Gap", O235, IF(L236&lt;&gt;0,  IF(O235="NO", "NO", "YES"), IF(L237&lt;&gt;0, IF(AND(O235="NO", O236="NO"), "NO", "YES"), IF(L243&lt;&gt;0, IF(AND(O235="NO", O236="NO", O237="NO"), "NO", "YES"), IF(AND(O235="NO", O236="NO", O237="NO", O243="NO"), "NO", "YES"))))))</f>
        <v>NO</v>
      </c>
      <c r="Q235" s="25">
        <f t="shared" si="128"/>
        <v>0</v>
      </c>
      <c r="R235" s="25">
        <f t="shared" si="121"/>
        <v>0</v>
      </c>
      <c r="S235" s="25">
        <f t="shared" si="122"/>
        <v>0</v>
      </c>
      <c r="T235" s="12" t="s">
        <v>7</v>
      </c>
      <c r="U235" s="12" t="s">
        <v>35</v>
      </c>
      <c r="V235" s="25">
        <f t="shared" si="123"/>
        <v>0</v>
      </c>
      <c r="W235" s="10">
        <f t="shared" si="129"/>
        <v>0</v>
      </c>
      <c r="X235" s="33"/>
      <c r="Y235" s="1">
        <f t="shared" si="124"/>
        <v>1</v>
      </c>
    </row>
    <row r="236" spans="1:25" ht="15.75" outlineLevel="1" thickBot="1" x14ac:dyDescent="0.3">
      <c r="A236" s="12" t="s">
        <v>5</v>
      </c>
      <c r="B236" s="16"/>
      <c r="C236" s="30">
        <v>0</v>
      </c>
      <c r="D236" s="11">
        <v>2</v>
      </c>
      <c r="E236" s="11">
        <f t="shared" si="125"/>
        <v>2</v>
      </c>
      <c r="F236" s="11">
        <f t="shared" si="117"/>
        <v>0</v>
      </c>
      <c r="G236" s="2">
        <f>VLOOKUP('930-4'!D236,Table1[],2,0)</f>
        <v>2.375</v>
      </c>
      <c r="H236" s="13">
        <f t="shared" si="126"/>
        <v>18.942050000000002</v>
      </c>
      <c r="I236" s="2">
        <f t="shared" si="127"/>
        <v>19</v>
      </c>
      <c r="J236" s="12">
        <v>20</v>
      </c>
      <c r="K236" s="12">
        <v>40</v>
      </c>
      <c r="L236" s="16" t="s">
        <v>13</v>
      </c>
      <c r="M236" s="14">
        <f t="shared" si="118"/>
        <v>0</v>
      </c>
      <c r="N236" s="15">
        <f t="shared" si="119"/>
        <v>0</v>
      </c>
      <c r="O236" s="15" t="str">
        <f t="shared" si="120"/>
        <v>NO</v>
      </c>
      <c r="P236" s="25" t="str">
        <f>IF(L236&lt;&gt;0, IF(L236="Gap", O236, IF(L237&lt;&gt;0,  IF(O236="NO", "NO", "YES"), IF(L243&lt;&gt;0, IF(AND(O236="NO", O237="NO"), "NO", "YES"), IF(L244&lt;&gt;0, IF(AND(O236="NO", O237="NO", O243="NO"), "NO", "YES"), IF(AND(O236="NO", O237="NO", O243="NO", O244="NO"), "NO", "YES"))))))</f>
        <v>NO</v>
      </c>
      <c r="Q236" s="25">
        <f t="shared" si="128"/>
        <v>0</v>
      </c>
      <c r="R236" s="25">
        <f t="shared" si="121"/>
        <v>0</v>
      </c>
      <c r="S236" s="25">
        <f t="shared" si="122"/>
        <v>0</v>
      </c>
      <c r="T236" s="12" t="s">
        <v>7</v>
      </c>
      <c r="U236" s="12" t="s">
        <v>35</v>
      </c>
      <c r="V236" s="25">
        <f t="shared" si="123"/>
        <v>0</v>
      </c>
      <c r="W236" s="10">
        <f t="shared" si="129"/>
        <v>0</v>
      </c>
      <c r="Y236" s="1">
        <f t="shared" si="124"/>
        <v>1</v>
      </c>
    </row>
    <row r="237" spans="1:25" ht="15.75" outlineLevel="1" thickBot="1" x14ac:dyDescent="0.3">
      <c r="A237" s="12" t="s">
        <v>5</v>
      </c>
      <c r="B237" s="16"/>
      <c r="C237" s="30">
        <v>0</v>
      </c>
      <c r="D237" s="11">
        <v>28</v>
      </c>
      <c r="E237" s="11">
        <f t="shared" si="125"/>
        <v>28</v>
      </c>
      <c r="F237" s="11">
        <f t="shared" si="117"/>
        <v>0</v>
      </c>
      <c r="G237" s="2">
        <f>VLOOKUP('930-4'!D237,Table1[],2,0)</f>
        <v>28</v>
      </c>
      <c r="H237" s="13">
        <f t="shared" si="126"/>
        <v>223.3168</v>
      </c>
      <c r="I237" s="2">
        <f t="shared" si="127"/>
        <v>224</v>
      </c>
      <c r="J237" s="12">
        <v>65</v>
      </c>
      <c r="K237" s="12">
        <v>85</v>
      </c>
      <c r="L237" s="16" t="s">
        <v>13</v>
      </c>
      <c r="M237" s="14">
        <f t="shared" si="118"/>
        <v>0</v>
      </c>
      <c r="N237" s="15">
        <f t="shared" si="119"/>
        <v>0</v>
      </c>
      <c r="O237" s="15" t="str">
        <f t="shared" si="120"/>
        <v>NO</v>
      </c>
      <c r="P237" s="25" t="str">
        <f>IF(L237&lt;&gt;0, IF(L237="Gap", O237, IF(L243&lt;&gt;0,  IF(O237="NO", "NO", "YES"), IF(L244&lt;&gt;0, IF(AND(O237="NO", O243="NO"), "NO", "YES"), IF(L245&lt;&gt;0, IF(AND(O237="NO", O243="NO", O244="NO"), "NO", "YES"), IF(AND(O237="NO", O243="NO", O244="NO", O245="NO"), "NO", "YES"))))))</f>
        <v>NO</v>
      </c>
      <c r="Q237" s="25">
        <f t="shared" si="128"/>
        <v>0</v>
      </c>
      <c r="R237" s="25">
        <f t="shared" si="121"/>
        <v>0</v>
      </c>
      <c r="S237" s="25">
        <f t="shared" si="122"/>
        <v>0</v>
      </c>
      <c r="T237" s="12" t="s">
        <v>7</v>
      </c>
      <c r="U237" s="12" t="s">
        <v>35</v>
      </c>
      <c r="V237" s="25">
        <f t="shared" si="123"/>
        <v>0</v>
      </c>
      <c r="W237" s="10">
        <f t="shared" si="129"/>
        <v>0</v>
      </c>
      <c r="Y237" s="1">
        <f t="shared" si="124"/>
        <v>1</v>
      </c>
    </row>
    <row r="238" spans="1:25" ht="15.75" outlineLevel="1" thickBot="1" x14ac:dyDescent="0.3">
      <c r="A238" s="12" t="s">
        <v>5</v>
      </c>
      <c r="B238" s="32"/>
      <c r="C238" s="30">
        <v>0</v>
      </c>
      <c r="D238" s="11">
        <v>10</v>
      </c>
      <c r="E238" s="11">
        <f t="shared" si="125"/>
        <v>10</v>
      </c>
      <c r="F238" s="11">
        <f t="shared" si="117"/>
        <v>0</v>
      </c>
      <c r="G238" s="2">
        <f>VLOOKUP('930-4'!D238,Table1[],2,0)</f>
        <v>10.75</v>
      </c>
      <c r="H238" s="13">
        <f t="shared" si="126"/>
        <v>85.737700000000004</v>
      </c>
      <c r="I238" s="2">
        <f t="shared" si="127"/>
        <v>86</v>
      </c>
      <c r="J238" s="12">
        <v>40</v>
      </c>
      <c r="K238" s="12">
        <v>125</v>
      </c>
      <c r="L238" s="16" t="s">
        <v>13</v>
      </c>
      <c r="M238" s="14">
        <f t="shared" si="118"/>
        <v>0</v>
      </c>
      <c r="N238" s="15">
        <f t="shared" si="119"/>
        <v>0</v>
      </c>
      <c r="O238" s="15" t="str">
        <f t="shared" si="120"/>
        <v>NO</v>
      </c>
      <c r="P238" s="25" t="str">
        <f>IF(L238&lt;&gt;0, IF(L238="Gap", O238, IF(L239&lt;&gt;0,  IF(O238="NO", "NO", "YES"), IF(L240&lt;&gt;0, IF(AND(O238="NO", O239="NO"), "NO", "YES"), IF(L241&lt;&gt;0, IF(AND(O238="NO", O239="NO", O240="NO"), "NO", "YES"), IF(AND(O238="NO", O239="NO", O240="NO", O241="NO"), "NO", "YES"))))))</f>
        <v>NO</v>
      </c>
      <c r="Q238" s="25">
        <f t="shared" si="128"/>
        <v>0</v>
      </c>
      <c r="R238" s="25">
        <f t="shared" si="121"/>
        <v>0</v>
      </c>
      <c r="S238" s="25">
        <f t="shared" si="122"/>
        <v>0</v>
      </c>
      <c r="T238" s="12" t="s">
        <v>7</v>
      </c>
      <c r="U238" s="12" t="s">
        <v>35</v>
      </c>
      <c r="V238" s="25">
        <f t="shared" si="123"/>
        <v>0</v>
      </c>
      <c r="W238" s="10">
        <f t="shared" si="129"/>
        <v>0</v>
      </c>
      <c r="Y238" s="1">
        <f t="shared" si="124"/>
        <v>1</v>
      </c>
    </row>
    <row r="239" spans="1:25" ht="15.75" outlineLevel="1" thickBot="1" x14ac:dyDescent="0.3">
      <c r="A239" s="12" t="s">
        <v>5</v>
      </c>
      <c r="B239" s="16"/>
      <c r="C239" s="30">
        <v>0</v>
      </c>
      <c r="D239" s="11">
        <v>6</v>
      </c>
      <c r="E239" s="11">
        <f t="shared" si="125"/>
        <v>6</v>
      </c>
      <c r="F239" s="11">
        <f t="shared" si="117"/>
        <v>6</v>
      </c>
      <c r="G239" s="2">
        <f>VLOOKUP('930-4'!D239,Table1[],2,0)</f>
        <v>6.625</v>
      </c>
      <c r="H239" s="13">
        <f t="shared" si="126"/>
        <v>52.838350000000005</v>
      </c>
      <c r="I239" s="2">
        <f t="shared" si="127"/>
        <v>53</v>
      </c>
      <c r="J239" s="12">
        <v>40</v>
      </c>
      <c r="K239" s="12">
        <v>125</v>
      </c>
      <c r="L239" s="16" t="s">
        <v>34</v>
      </c>
      <c r="M239" s="14">
        <f t="shared" si="118"/>
        <v>0</v>
      </c>
      <c r="N239" s="15">
        <f t="shared" si="119"/>
        <v>0</v>
      </c>
      <c r="O239" s="15" t="str">
        <f t="shared" si="120"/>
        <v>NO</v>
      </c>
      <c r="P239" s="25" t="str">
        <f>IF(L239&lt;&gt;0, IF(L239="Gap", O239, IF(L240&lt;&gt;0,  IF(O239="NO", "NO", "YES"), IF(L241&lt;&gt;0, IF(AND(O239="NO", O240="NO"), "NO", "YES"), IF(L243&lt;&gt;0, IF(AND(O239="NO", O240="NO", O241="NO"), "NO", "YES"), IF(AND(O239="NO", O240="NO", O241="NO", O243="NO"), "NO", "YES"))))))</f>
        <v>NO</v>
      </c>
      <c r="Q239" s="25">
        <f t="shared" si="128"/>
        <v>0</v>
      </c>
      <c r="R239" s="25">
        <f t="shared" si="121"/>
        <v>0</v>
      </c>
      <c r="S239" s="25">
        <f t="shared" si="122"/>
        <v>0</v>
      </c>
      <c r="T239" s="12" t="s">
        <v>7</v>
      </c>
      <c r="U239" s="12" t="s">
        <v>35</v>
      </c>
      <c r="V239" s="25">
        <f t="shared" si="123"/>
        <v>0</v>
      </c>
      <c r="W239" s="10">
        <f t="shared" si="129"/>
        <v>0</v>
      </c>
      <c r="Y239" s="1">
        <f t="shared" si="124"/>
        <v>1</v>
      </c>
    </row>
    <row r="240" spans="1:25" ht="15.75" outlineLevel="1" thickBot="1" x14ac:dyDescent="0.3">
      <c r="A240" s="12" t="s">
        <v>5</v>
      </c>
      <c r="B240" s="16"/>
      <c r="C240" s="30">
        <v>0</v>
      </c>
      <c r="D240" s="11">
        <v>18</v>
      </c>
      <c r="E240" s="11">
        <f t="shared" si="125"/>
        <v>18</v>
      </c>
      <c r="F240" s="11">
        <f t="shared" si="117"/>
        <v>18</v>
      </c>
      <c r="G240" s="2">
        <f>VLOOKUP('930-4'!D240,Table1[],2,0)</f>
        <v>18</v>
      </c>
      <c r="H240" s="13">
        <f t="shared" si="126"/>
        <v>143.5608</v>
      </c>
      <c r="I240" s="2">
        <f t="shared" si="127"/>
        <v>144</v>
      </c>
      <c r="J240" s="12">
        <v>40</v>
      </c>
      <c r="K240" s="12">
        <v>45</v>
      </c>
      <c r="L240" s="34" t="s">
        <v>34</v>
      </c>
      <c r="M240" s="14">
        <f t="shared" si="118"/>
        <v>0</v>
      </c>
      <c r="N240" s="15">
        <f t="shared" si="119"/>
        <v>0</v>
      </c>
      <c r="O240" s="15" t="str">
        <f t="shared" si="120"/>
        <v>NO</v>
      </c>
      <c r="P240" s="25" t="str">
        <f>IF(L240&lt;&gt;0, IF(L240="Gap", O240, IF(L241&lt;&gt;0,  IF(O240="NO", "NO", "YES"), IF(L243&lt;&gt;0, IF(AND(O240="NO", O241="NO"), "NO", "YES"), IF(L244&lt;&gt;0, IF(AND(O240="NO", O241="NO", O243="NO"), "NO", "YES"), IF(AND(O240="NO", O241="NO", O243="NO", O244="NO"), "NO", "YES"))))))</f>
        <v>NO</v>
      </c>
      <c r="Q240" s="25">
        <f t="shared" si="128"/>
        <v>0</v>
      </c>
      <c r="R240" s="25">
        <f t="shared" si="121"/>
        <v>0</v>
      </c>
      <c r="S240" s="25">
        <f t="shared" si="122"/>
        <v>0</v>
      </c>
      <c r="T240" s="12" t="s">
        <v>7</v>
      </c>
      <c r="U240" s="12" t="s">
        <v>35</v>
      </c>
      <c r="V240" s="25">
        <f t="shared" si="123"/>
        <v>0</v>
      </c>
      <c r="W240" s="10">
        <f t="shared" si="129"/>
        <v>0</v>
      </c>
      <c r="Y240" s="1">
        <f t="shared" si="124"/>
        <v>1</v>
      </c>
    </row>
    <row r="241" spans="1:25" ht="15.75" outlineLevel="1" thickBot="1" x14ac:dyDescent="0.3">
      <c r="A241" s="16" t="s">
        <v>5</v>
      </c>
      <c r="B241" s="16"/>
      <c r="C241" s="30">
        <v>0</v>
      </c>
      <c r="D241" s="17">
        <v>18</v>
      </c>
      <c r="E241" s="11">
        <f t="shared" si="125"/>
        <v>18</v>
      </c>
      <c r="F241" s="11">
        <f t="shared" si="117"/>
        <v>18</v>
      </c>
      <c r="G241" s="2">
        <f>VLOOKUP('930-4'!D241,Table1[],2,0)</f>
        <v>18</v>
      </c>
      <c r="H241" s="19">
        <f t="shared" si="126"/>
        <v>143.5608</v>
      </c>
      <c r="I241" s="18">
        <f t="shared" si="127"/>
        <v>144</v>
      </c>
      <c r="J241" s="12">
        <v>40</v>
      </c>
      <c r="K241" s="12">
        <v>10</v>
      </c>
      <c r="L241" s="35"/>
      <c r="M241" s="14">
        <f t="shared" si="118"/>
        <v>0</v>
      </c>
      <c r="N241" s="15">
        <f t="shared" si="119"/>
        <v>0</v>
      </c>
      <c r="O241" s="15" t="str">
        <f t="shared" si="120"/>
        <v>NO</v>
      </c>
      <c r="P241" s="25" t="b">
        <f>IF(L241&lt;&gt;0, IF(L241="Gap", O241, IF(L243&lt;&gt;0,  IF(O241="NO", "NO", "YES"), IF(L244&lt;&gt;0, IF(AND(O241="NO", O243="NO"), "NO", "YES"), IF(L245&lt;&gt;0, IF(AND(O241="NO", O243="NO", O244="NO"), "NO", "YES"), IF(AND(O241="NO", O243="NO", O244="NO", O245="NO"), "NO", "YES"))))))</f>
        <v>0</v>
      </c>
      <c r="Q241" s="25">
        <f t="shared" si="128"/>
        <v>0</v>
      </c>
      <c r="R241" s="25">
        <f t="shared" si="121"/>
        <v>0</v>
      </c>
      <c r="S241" s="25">
        <f t="shared" si="122"/>
        <v>0</v>
      </c>
      <c r="T241" s="12" t="s">
        <v>7</v>
      </c>
      <c r="U241" s="12" t="s">
        <v>35</v>
      </c>
      <c r="V241" s="25">
        <f t="shared" si="123"/>
        <v>0</v>
      </c>
      <c r="W241" s="10">
        <f t="shared" si="129"/>
        <v>0</v>
      </c>
      <c r="Y241" s="1">
        <f t="shared" si="124"/>
        <v>1</v>
      </c>
    </row>
    <row r="242" spans="1:25" ht="15.75" outlineLevel="1" thickBot="1" x14ac:dyDescent="0.3">
      <c r="A242" s="12" t="s">
        <v>5</v>
      </c>
      <c r="B242" s="16"/>
      <c r="C242" s="30">
        <v>0</v>
      </c>
      <c r="D242" s="11">
        <v>10</v>
      </c>
      <c r="E242" s="11">
        <f t="shared" si="125"/>
        <v>10</v>
      </c>
      <c r="F242" s="11">
        <f t="shared" si="117"/>
        <v>0</v>
      </c>
      <c r="G242" s="2">
        <f>VLOOKUP('930-4'!D242,Table1[],2,0)</f>
        <v>10.75</v>
      </c>
      <c r="H242" s="13">
        <f t="shared" si="126"/>
        <v>85.737700000000004</v>
      </c>
      <c r="I242" s="2">
        <f t="shared" si="127"/>
        <v>86</v>
      </c>
      <c r="J242" s="12">
        <v>40</v>
      </c>
      <c r="K242" s="12">
        <v>35</v>
      </c>
      <c r="L242" s="16" t="s">
        <v>13</v>
      </c>
      <c r="M242" s="14">
        <f t="shared" si="118"/>
        <v>0</v>
      </c>
      <c r="N242" s="15">
        <f t="shared" si="119"/>
        <v>0</v>
      </c>
      <c r="O242" s="15" t="str">
        <f t="shared" si="120"/>
        <v>NO</v>
      </c>
      <c r="P242" s="25" t="str">
        <f>IF(L242&lt;&gt;0, IF(L242="Gap", O242, IF(L248&lt;&gt;0,  IF(O242="NO", "NO", "YES"), IF(L249&lt;&gt;0, IF(AND(O242="NO", O248="NO"), "NO", "YES"), IF(L250&lt;&gt;0, IF(AND(O242="NO", O248="NO", O249="NO"), "NO", "YES"), IF(AND(O242="NO", O248="NO", O249="NO", O250="NO"), "NO", "YES"))))))</f>
        <v>NO</v>
      </c>
      <c r="Q242" s="25">
        <f t="shared" si="128"/>
        <v>0</v>
      </c>
      <c r="R242" s="25">
        <f t="shared" si="121"/>
        <v>0</v>
      </c>
      <c r="S242" s="25">
        <f t="shared" si="122"/>
        <v>0</v>
      </c>
      <c r="T242" s="12" t="s">
        <v>7</v>
      </c>
      <c r="U242" s="12" t="s">
        <v>35</v>
      </c>
      <c r="V242" s="25">
        <f t="shared" si="123"/>
        <v>0</v>
      </c>
      <c r="W242" s="10">
        <f t="shared" si="129"/>
        <v>0</v>
      </c>
      <c r="Y242" s="1">
        <f t="shared" si="124"/>
        <v>1</v>
      </c>
    </row>
    <row r="243" spans="1:25" ht="15.75" outlineLevel="1" thickBot="1" x14ac:dyDescent="0.3">
      <c r="A243" s="12" t="s">
        <v>5</v>
      </c>
      <c r="B243" s="32"/>
      <c r="C243" s="30">
        <v>0</v>
      </c>
      <c r="D243" s="11">
        <v>10</v>
      </c>
      <c r="E243" s="11">
        <f t="shared" si="125"/>
        <v>10</v>
      </c>
      <c r="F243" s="11">
        <f t="shared" si="117"/>
        <v>10</v>
      </c>
      <c r="G243" s="2">
        <f>VLOOKUP('930-4'!D243,Table1[],2,0)</f>
        <v>10.75</v>
      </c>
      <c r="H243" s="13">
        <f t="shared" si="126"/>
        <v>85.737700000000004</v>
      </c>
      <c r="I243" s="2">
        <f t="shared" si="127"/>
        <v>86</v>
      </c>
      <c r="J243" s="12">
        <v>40</v>
      </c>
      <c r="K243" s="12">
        <v>50</v>
      </c>
      <c r="L243" s="34" t="s">
        <v>34</v>
      </c>
      <c r="M243" s="14">
        <f t="shared" si="118"/>
        <v>0</v>
      </c>
      <c r="N243" s="15">
        <f t="shared" si="119"/>
        <v>0</v>
      </c>
      <c r="O243" s="15" t="str">
        <f t="shared" si="120"/>
        <v>NO</v>
      </c>
      <c r="P243" s="25" t="str">
        <f>IF(L243&lt;&gt;0, IF(L243="Gap", O243, IF(L244&lt;&gt;0,  IF(O243="NO", "NO", "YES"), IF(L245&lt;&gt;0, IF(AND(O243="NO", O244="NO"), "NO", "YES"), IF(L246&lt;&gt;0, IF(AND(O243="NO", O244="NO", O245="NO"), "NO", "YES"), IF(AND(O243="NO", O244="NO", O245="NO", O246="NO"), "NO", "YES"))))))</f>
        <v>NO</v>
      </c>
      <c r="Q243" s="25">
        <f t="shared" si="128"/>
        <v>0</v>
      </c>
      <c r="R243" s="25">
        <f t="shared" si="121"/>
        <v>0</v>
      </c>
      <c r="S243" s="25">
        <f t="shared" si="122"/>
        <v>0</v>
      </c>
      <c r="T243" s="12" t="s">
        <v>7</v>
      </c>
      <c r="U243" s="12" t="s">
        <v>35</v>
      </c>
      <c r="V243" s="25">
        <f t="shared" si="123"/>
        <v>0</v>
      </c>
      <c r="W243" s="10">
        <f t="shared" si="129"/>
        <v>0</v>
      </c>
      <c r="Y243" s="1">
        <f t="shared" si="124"/>
        <v>1</v>
      </c>
    </row>
    <row r="244" spans="1:25" ht="15.75" outlineLevel="1" thickBot="1" x14ac:dyDescent="0.3">
      <c r="A244" s="12" t="s">
        <v>5</v>
      </c>
      <c r="B244" s="16"/>
      <c r="C244" s="30">
        <v>0</v>
      </c>
      <c r="D244" s="11">
        <v>10</v>
      </c>
      <c r="E244" s="11">
        <f t="shared" si="125"/>
        <v>10</v>
      </c>
      <c r="F244" s="11">
        <f t="shared" si="117"/>
        <v>10</v>
      </c>
      <c r="G244" s="2">
        <f>VLOOKUP('930-4'!D244,Table1[],2,0)</f>
        <v>10.75</v>
      </c>
      <c r="H244" s="13">
        <f t="shared" si="126"/>
        <v>85.737700000000004</v>
      </c>
      <c r="I244" s="2">
        <f t="shared" si="127"/>
        <v>86</v>
      </c>
      <c r="J244" s="12">
        <v>40</v>
      </c>
      <c r="K244" s="12">
        <v>80</v>
      </c>
      <c r="L244" s="35"/>
      <c r="M244" s="14">
        <f t="shared" si="118"/>
        <v>0</v>
      </c>
      <c r="N244" s="15">
        <f t="shared" si="119"/>
        <v>0</v>
      </c>
      <c r="O244" s="15" t="str">
        <f t="shared" si="120"/>
        <v>NO</v>
      </c>
      <c r="P244" s="25" t="b">
        <f>IF(L244&lt;&gt;0, IF(L244="Gap", O244, IF(L245&lt;&gt;0,  IF(O244="NO", "NO", "YES"), IF(L246&lt;&gt;0, IF(AND(O244="NO", O245="NO"), "NO", "YES"), IF(L248&lt;&gt;0, IF(AND(O244="NO", O245="NO", O246="NO"), "NO", "YES"), IF(AND(O244="NO", O245="NO", O246="NO", O248="NO"), "NO", "YES"))))))</f>
        <v>0</v>
      </c>
      <c r="Q244" s="25">
        <f t="shared" si="128"/>
        <v>0</v>
      </c>
      <c r="R244" s="25">
        <f t="shared" si="121"/>
        <v>0</v>
      </c>
      <c r="S244" s="25">
        <f t="shared" si="122"/>
        <v>0</v>
      </c>
      <c r="T244" s="12" t="s">
        <v>7</v>
      </c>
      <c r="U244" s="12" t="s">
        <v>35</v>
      </c>
      <c r="V244" s="25">
        <f t="shared" si="123"/>
        <v>0</v>
      </c>
      <c r="W244" s="10">
        <f t="shared" si="129"/>
        <v>0</v>
      </c>
      <c r="Y244" s="1">
        <f t="shared" si="124"/>
        <v>1</v>
      </c>
    </row>
    <row r="245" spans="1:25" ht="15.75" outlineLevel="1" thickBot="1" x14ac:dyDescent="0.3">
      <c r="A245" s="12" t="s">
        <v>5</v>
      </c>
      <c r="B245" s="16"/>
      <c r="C245" s="30">
        <v>0</v>
      </c>
      <c r="D245" s="11">
        <v>10</v>
      </c>
      <c r="E245" s="11">
        <f t="shared" si="125"/>
        <v>10</v>
      </c>
      <c r="F245" s="11">
        <f t="shared" si="117"/>
        <v>10</v>
      </c>
      <c r="G245" s="2">
        <f>VLOOKUP('930-4'!D245,Table1[],2,0)</f>
        <v>10.75</v>
      </c>
      <c r="H245" s="13">
        <f t="shared" si="126"/>
        <v>85.737700000000004</v>
      </c>
      <c r="I245" s="2">
        <f t="shared" si="127"/>
        <v>86</v>
      </c>
      <c r="J245" s="12">
        <v>40</v>
      </c>
      <c r="K245" s="12">
        <v>55</v>
      </c>
      <c r="L245" s="34" t="s">
        <v>34</v>
      </c>
      <c r="M245" s="14">
        <f t="shared" si="118"/>
        <v>0</v>
      </c>
      <c r="N245" s="15">
        <f t="shared" si="119"/>
        <v>0</v>
      </c>
      <c r="O245" s="15" t="str">
        <f t="shared" si="120"/>
        <v>NO</v>
      </c>
      <c r="P245" s="25" t="str">
        <f>IF(L245&lt;&gt;0, IF(L245="Gap", O245, IF(L246&lt;&gt;0,  IF(O245="NO", "NO", "YES"), IF(L248&lt;&gt;0, IF(AND(O245="NO", O246="NO"), "NO", "YES"), IF(L249&lt;&gt;0, IF(AND(O245="NO", O246="NO", O248="NO"), "NO", "YES"), IF(AND(O245="NO", O246="NO", O248="NO", O249="NO"), "NO", "YES"))))))</f>
        <v>NO</v>
      </c>
      <c r="Q245" s="25">
        <f t="shared" si="128"/>
        <v>0</v>
      </c>
      <c r="R245" s="25">
        <f t="shared" si="121"/>
        <v>0</v>
      </c>
      <c r="S245" s="25">
        <f t="shared" si="122"/>
        <v>0</v>
      </c>
      <c r="T245" s="12" t="s">
        <v>7</v>
      </c>
      <c r="U245" s="12" t="s">
        <v>35</v>
      </c>
      <c r="V245" s="25">
        <f t="shared" si="123"/>
        <v>0</v>
      </c>
      <c r="W245" s="10">
        <f t="shared" si="129"/>
        <v>0</v>
      </c>
      <c r="Y245" s="1">
        <f t="shared" si="124"/>
        <v>1</v>
      </c>
    </row>
    <row r="246" spans="1:25" ht="15.75" outlineLevel="1" thickBot="1" x14ac:dyDescent="0.3">
      <c r="A246" s="16" t="s">
        <v>5</v>
      </c>
      <c r="B246" s="16"/>
      <c r="C246" s="30">
        <v>0</v>
      </c>
      <c r="D246" s="17">
        <v>10</v>
      </c>
      <c r="E246" s="11">
        <f t="shared" si="125"/>
        <v>10</v>
      </c>
      <c r="F246" s="11">
        <f t="shared" si="117"/>
        <v>10</v>
      </c>
      <c r="G246" s="2">
        <f>VLOOKUP('930-4'!D246,Table1[],2,0)</f>
        <v>10.75</v>
      </c>
      <c r="H246" s="19">
        <f t="shared" si="126"/>
        <v>85.737700000000004</v>
      </c>
      <c r="I246" s="18">
        <f t="shared" si="127"/>
        <v>86</v>
      </c>
      <c r="J246" s="12">
        <v>40</v>
      </c>
      <c r="K246" s="12">
        <v>75</v>
      </c>
      <c r="L246" s="35"/>
      <c r="M246" s="14">
        <f t="shared" si="118"/>
        <v>0</v>
      </c>
      <c r="N246" s="15">
        <f t="shared" si="119"/>
        <v>0</v>
      </c>
      <c r="O246" s="15" t="str">
        <f t="shared" si="120"/>
        <v>NO</v>
      </c>
      <c r="P246" s="25" t="b">
        <f>IF(L246&lt;&gt;0, IF(L246="Gap", O246, IF(L248&lt;&gt;0,  IF(O246="NO", "NO", "YES"), IF(L249&lt;&gt;0, IF(AND(O246="NO", O248="NO"), "NO", "YES"), IF(L250&lt;&gt;0, IF(AND(O246="NO", O248="NO", O249="NO"), "NO", "YES"), IF(AND(O246="NO", O248="NO", O249="NO", O250="NO"), "NO", "YES"))))))</f>
        <v>0</v>
      </c>
      <c r="Q246" s="25">
        <f>IF(L246=0,0,IF(L247&lt;&gt;0,N246,IF(L248&lt;&gt;0,N246+N247,IF(L249&lt;&gt;0,N246+N247+N248,IF(L250&lt;&gt;0,N246+N247+N248+N249,IF(#REF!&lt;&gt;0,N246+N247+N248+N249+N250,N246+N247+N248+N249+N250+#REF!))))))</f>
        <v>0</v>
      </c>
      <c r="R246" s="25">
        <f t="shared" si="121"/>
        <v>0</v>
      </c>
      <c r="S246" s="25">
        <f>IF(L246=0, 0, IF(L247&lt;&gt;0, R246, IF(L248&lt;&gt;0, R246+R247, IF(L249&lt;&gt;0, R246+R247+R248, IF(L250&lt;&gt;0, R246+R247+R248+R249, IF(#REF!&lt;&gt;0, R246+R247+R248+R249+R250, R246+R247+R248+R249+R250+#REF!))))))</f>
        <v>0</v>
      </c>
      <c r="T246" s="12" t="s">
        <v>7</v>
      </c>
      <c r="U246" s="12" t="s">
        <v>35</v>
      </c>
      <c r="V246" s="25">
        <f t="shared" si="123"/>
        <v>0</v>
      </c>
      <c r="W246" s="10">
        <f t="shared" si="129"/>
        <v>0</v>
      </c>
      <c r="Y246" s="1">
        <f t="shared" si="124"/>
        <v>1</v>
      </c>
    </row>
    <row r="247" spans="1:25" ht="15.75" outlineLevel="1" thickBot="1" x14ac:dyDescent="0.3">
      <c r="A247" s="16"/>
      <c r="B247" s="16"/>
      <c r="C247" s="30">
        <v>0</v>
      </c>
      <c r="D247" s="17">
        <v>10</v>
      </c>
      <c r="E247" s="11">
        <f t="shared" si="125"/>
        <v>10</v>
      </c>
      <c r="F247" s="11">
        <f t="shared" si="117"/>
        <v>0</v>
      </c>
      <c r="G247" s="2">
        <f>VLOOKUP('930-4'!D247,Table1[],2,0)</f>
        <v>10.75</v>
      </c>
      <c r="H247" s="19">
        <f t="shared" si="126"/>
        <v>85.737700000000004</v>
      </c>
      <c r="I247" s="18">
        <f t="shared" si="127"/>
        <v>86</v>
      </c>
      <c r="J247" s="12">
        <v>40</v>
      </c>
      <c r="K247" s="12">
        <v>45</v>
      </c>
      <c r="L247" s="16" t="s">
        <v>13</v>
      </c>
      <c r="M247" s="14">
        <f t="shared" si="118"/>
        <v>0</v>
      </c>
      <c r="N247" s="15">
        <f t="shared" si="119"/>
        <v>0</v>
      </c>
      <c r="O247" s="15" t="str">
        <f t="shared" si="120"/>
        <v>NO</v>
      </c>
      <c r="P247" s="25" t="str">
        <f>IF(L247&lt;&gt;0, IF(L247="Gap", O247, IF(L248&lt;&gt;0,  IF(O247="NO", "NO", "YES"), IF(L249&lt;&gt;0, IF(AND(O247="NO", O248="NO"), "NO", "YES"), IF(L250&lt;&gt;0, IF(AND(O247="NO", O248="NO", O249="NO"), "NO", "YES"), IF(AND(O247="NO", O248="NO", O249="NO", O250="NO"), "NO", "YES"))))))</f>
        <v>NO</v>
      </c>
      <c r="Q247" s="25">
        <f>IF(L247=0,0,IF(L248&lt;&gt;0,N247,IF(L249&lt;&gt;0,N247+N248,IF(L250&lt;&gt;0,N247+N248+N249,IF(#REF!&lt;&gt;0,N247+N248+N249+N250,IF(#REF!&lt;&gt;0,N247+N248+N249+N250+#REF!,N247+N248+N249+N250+#REF!+#REF!))))))</f>
        <v>0</v>
      </c>
      <c r="R247" s="25">
        <f t="shared" si="121"/>
        <v>0</v>
      </c>
      <c r="S247" s="25">
        <f>IF(L247=0, 0, IF(L248&lt;&gt;0, R247, IF(L249&lt;&gt;0, R247+R248, IF(L250&lt;&gt;0, R247+R248+R249, IF(#REF!&lt;&gt;0, R247+R248+R249+R250, IF(#REF!&lt;&gt;0, R247+R248+R249+R250+#REF!, R247+R248+R249+R250+#REF!+#REF!))))))</f>
        <v>0</v>
      </c>
      <c r="T247" s="12" t="s">
        <v>7</v>
      </c>
      <c r="U247" s="12" t="s">
        <v>35</v>
      </c>
      <c r="V247" s="25">
        <f t="shared" si="123"/>
        <v>0</v>
      </c>
      <c r="W247" s="10">
        <f t="shared" si="129"/>
        <v>0</v>
      </c>
      <c r="Y247" s="1">
        <f>IF(L247="FULL",IF(L248=0,IF(L249=0,IF(L250=0,IF(#REF!=0,5,4),3),2),1),IF(L247=0,Y246,1))</f>
        <v>1</v>
      </c>
    </row>
    <row r="248" spans="1:25" outlineLevel="1" x14ac:dyDescent="0.25">
      <c r="A248" s="16"/>
      <c r="B248" s="16"/>
      <c r="C248" s="30">
        <v>0</v>
      </c>
      <c r="D248" s="17">
        <v>2</v>
      </c>
      <c r="E248" s="11">
        <f t="shared" si="125"/>
        <v>2</v>
      </c>
      <c r="F248" s="11">
        <f t="shared" si="117"/>
        <v>0</v>
      </c>
      <c r="G248" s="2">
        <f>VLOOKUP('930-4'!D248,Table1[],2,0)</f>
        <v>2.375</v>
      </c>
      <c r="H248" s="19">
        <f t="shared" si="126"/>
        <v>18.942050000000002</v>
      </c>
      <c r="I248" s="18">
        <f t="shared" si="127"/>
        <v>19</v>
      </c>
      <c r="J248" s="12">
        <v>40</v>
      </c>
      <c r="K248" s="12">
        <v>45</v>
      </c>
      <c r="L248" s="16" t="s">
        <v>13</v>
      </c>
      <c r="M248" s="14">
        <f t="shared" si="118"/>
        <v>0</v>
      </c>
      <c r="N248" s="15">
        <f t="shared" si="119"/>
        <v>0</v>
      </c>
      <c r="O248" s="15" t="str">
        <f t="shared" si="120"/>
        <v>NO</v>
      </c>
      <c r="P248" s="25" t="str">
        <f>IF(L248&lt;&gt;0, IF(L248="Gap", O248, IF(L249&lt;&gt;0,  IF(O248="NO", "NO", "YES"), IF(L250&lt;&gt;0, IF(AND(O248="NO", O249="NO"), "NO", "YES"), IF(#REF!&lt;&gt;0, IF(AND(O248="NO", O249="NO", O250="NO"), "NO", "YES"), IF(AND(O248="NO", O249="NO", O250="NO",#REF!= "NO"), "NO", "YES"))))))</f>
        <v>NO</v>
      </c>
      <c r="Q248" s="25">
        <f>IF(L248=0,0,IF(L249&lt;&gt;0,N248,IF(L250&lt;&gt;0,N248+N249,IF(#REF!&lt;&gt;0,N248+N249+N250,IF(#REF!&lt;&gt;0,N248+N249+N250+#REF!,IF(#REF!&lt;&gt;0,N248+N249+N250+#REF!+#REF!,N248+N249+N250+#REF!+#REF!+#REF!))))))</f>
        <v>0</v>
      </c>
      <c r="R248" s="25">
        <f t="shared" si="121"/>
        <v>0</v>
      </c>
      <c r="S248" s="25">
        <f>IF(L248=0, 0, IF(L249&lt;&gt;0, R248, IF(L250&lt;&gt;0, R248+R249, IF(#REF!&lt;&gt;0, R248+R249+R250, IF(#REF!&lt;&gt;0, R248+R249+R250+#REF!, IF(#REF!&lt;&gt;0, R248+R249+R250+#REF!+#REF!, R248+R249+R250+#REF!+#REF!+#REF!))))))</f>
        <v>0</v>
      </c>
      <c r="T248" s="12" t="s">
        <v>7</v>
      </c>
      <c r="U248" s="12" t="s">
        <v>35</v>
      </c>
      <c r="V248" s="25">
        <f t="shared" si="123"/>
        <v>0</v>
      </c>
      <c r="W248" s="10">
        <f t="shared" si="129"/>
        <v>0</v>
      </c>
      <c r="Y248" s="1">
        <f>IF(L248="FULL",IF(L249=0,IF(L250=0,IF(#REF!=0,IF(#REF!=0,5,4),3),2),1),IF(L248=0,Y247,1))</f>
        <v>1</v>
      </c>
    </row>
    <row r="249" spans="1:25" ht="15" customHeight="1" outlineLevel="1" x14ac:dyDescent="0.25">
      <c r="A249" s="29" t="s">
        <v>20</v>
      </c>
      <c r="B249" s="29" t="s">
        <v>20</v>
      </c>
      <c r="C249" s="29" t="s">
        <v>20</v>
      </c>
      <c r="D249" s="29" t="s">
        <v>20</v>
      </c>
      <c r="E249" s="29" t="s">
        <v>20</v>
      </c>
      <c r="F249" s="29"/>
      <c r="G249" s="29" t="s">
        <v>20</v>
      </c>
      <c r="H249" s="29" t="s">
        <v>20</v>
      </c>
      <c r="I249" s="29" t="s">
        <v>20</v>
      </c>
      <c r="J249" s="29" t="s">
        <v>20</v>
      </c>
      <c r="K249" s="29" t="s">
        <v>20</v>
      </c>
      <c r="L249" s="29" t="s">
        <v>20</v>
      </c>
      <c r="M249" s="29" t="s">
        <v>20</v>
      </c>
      <c r="N249" s="29" t="s">
        <v>20</v>
      </c>
      <c r="O249" s="29" t="s">
        <v>20</v>
      </c>
      <c r="P249" s="29" t="s">
        <v>20</v>
      </c>
      <c r="Q249" s="29" t="s">
        <v>20</v>
      </c>
      <c r="R249" s="29" t="s">
        <v>20</v>
      </c>
      <c r="S249" s="29" t="s">
        <v>20</v>
      </c>
      <c r="T249" s="29" t="s">
        <v>20</v>
      </c>
      <c r="U249" s="29" t="s">
        <v>20</v>
      </c>
      <c r="V249" s="29" t="s">
        <v>20</v>
      </c>
      <c r="W249" s="29" t="s">
        <v>20</v>
      </c>
      <c r="Y249" s="1">
        <f>IF(L249="FULL",IF(L250=0,IF(#REF!=0,IF(#REF!=0,IF(#REF!=0,5,4),3),2),1),IF(L249=0,Y248,1))</f>
        <v>1</v>
      </c>
    </row>
    <row r="250" spans="1:25" ht="15.75" thickBot="1" x14ac:dyDescent="0.3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21"/>
      <c r="N250" s="21"/>
      <c r="O250" s="21"/>
      <c r="P250" s="21"/>
      <c r="Q250" s="31">
        <f>SUM(Q233:Q248)</f>
        <v>58</v>
      </c>
      <c r="R250" s="31"/>
      <c r="S250" s="31">
        <f>SUM(R233:R248)</f>
        <v>58</v>
      </c>
      <c r="T250" s="31"/>
      <c r="U250" s="20"/>
      <c r="V250" s="21">
        <f>IF(COUNTIF(V233:V248,  "Segment Error")=0, IF(AND(SUM(V233:V248)&lt;50, COUNTIF(P233:P248, "YES")=0), 50, SUM(V233:V248)), "Segment Error")</f>
        <v>58</v>
      </c>
      <c r="W250" s="22">
        <f>V250*2400000</f>
        <v>139200000</v>
      </c>
      <c r="Y250" s="1">
        <f>IF(L250="FULL",IF(#REF!=0,IF(#REF!=0,IF(#REF!=0,IF(#REF!=0,5,4),3),2),1),IF(L250=0,Y249,1))</f>
        <v>1</v>
      </c>
    </row>
    <row r="251" spans="1:25" ht="15" hidden="1" customHeight="1" x14ac:dyDescent="0.25">
      <c r="A251" s="28"/>
      <c r="X251" s="1"/>
    </row>
    <row r="252" spans="1:25" ht="15" hidden="1" customHeight="1" x14ac:dyDescent="0.25">
      <c r="A252" s="28"/>
      <c r="X252" s="1"/>
    </row>
    <row r="253" spans="1:25" ht="15" hidden="1" customHeight="1" thickBot="1" x14ac:dyDescent="0.3">
      <c r="A253" s="28"/>
      <c r="X253" s="1"/>
    </row>
    <row r="254" spans="1:25" ht="27" customHeight="1" x14ac:dyDescent="0.25">
      <c r="A254" s="44" t="s">
        <v>48</v>
      </c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Y254" s="27" t="s">
        <v>17</v>
      </c>
    </row>
    <row r="255" spans="1:25" ht="15" hidden="1" customHeight="1" x14ac:dyDescent="0.25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Y255" s="1">
        <v>1</v>
      </c>
    </row>
    <row r="256" spans="1:25" ht="15" hidden="1" customHeight="1" x14ac:dyDescent="0.25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Y256" s="1">
        <v>1</v>
      </c>
    </row>
    <row r="257" spans="1:25" ht="15" hidden="1" customHeight="1" x14ac:dyDescent="0.25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Y257" s="1">
        <v>1</v>
      </c>
    </row>
    <row r="258" spans="1:25" ht="15.75" thickBot="1" x14ac:dyDescent="0.3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Y258" s="1">
        <v>1</v>
      </c>
    </row>
    <row r="259" spans="1:25" ht="30" customHeight="1" x14ac:dyDescent="0.25">
      <c r="A259" s="37" t="s">
        <v>0</v>
      </c>
      <c r="B259" s="37" t="s">
        <v>8</v>
      </c>
      <c r="C259" s="39" t="s">
        <v>29</v>
      </c>
      <c r="D259" s="37" t="s">
        <v>28</v>
      </c>
      <c r="E259" s="37" t="s">
        <v>28</v>
      </c>
      <c r="F259" s="39" t="s">
        <v>33</v>
      </c>
      <c r="G259" s="39" t="s">
        <v>16</v>
      </c>
      <c r="H259" s="37" t="s">
        <v>9</v>
      </c>
      <c r="I259" s="39" t="s">
        <v>12</v>
      </c>
      <c r="J259" s="41" t="s">
        <v>1</v>
      </c>
      <c r="K259" s="41"/>
      <c r="L259" s="41"/>
      <c r="M259" s="37" t="s">
        <v>14</v>
      </c>
      <c r="N259" s="39" t="s">
        <v>18</v>
      </c>
      <c r="O259" s="39" t="s">
        <v>32</v>
      </c>
      <c r="P259" s="39" t="s">
        <v>21</v>
      </c>
      <c r="Q259" s="39" t="s">
        <v>30</v>
      </c>
      <c r="R259" s="39" t="s">
        <v>19</v>
      </c>
      <c r="S259" s="39" t="s">
        <v>25</v>
      </c>
      <c r="T259" s="41" t="s">
        <v>3</v>
      </c>
      <c r="U259" s="37" t="s">
        <v>4</v>
      </c>
      <c r="V259" s="37" t="s">
        <v>6</v>
      </c>
      <c r="W259" s="42" t="s">
        <v>15</v>
      </c>
      <c r="Y259" s="1">
        <v>1</v>
      </c>
    </row>
    <row r="260" spans="1:25" ht="30" customHeight="1" thickBot="1" x14ac:dyDescent="0.3">
      <c r="A260" s="38"/>
      <c r="B260" s="38"/>
      <c r="C260" s="40"/>
      <c r="D260" s="38"/>
      <c r="E260" s="38"/>
      <c r="F260" s="40"/>
      <c r="G260" s="40"/>
      <c r="H260" s="38"/>
      <c r="I260" s="40"/>
      <c r="J260" s="26" t="s">
        <v>26</v>
      </c>
      <c r="K260" s="26" t="s">
        <v>27</v>
      </c>
      <c r="L260" s="2" t="s">
        <v>2</v>
      </c>
      <c r="M260" s="38"/>
      <c r="N260" s="40"/>
      <c r="O260" s="40"/>
      <c r="P260" s="40"/>
      <c r="Q260" s="40"/>
      <c r="R260" s="40"/>
      <c r="S260" s="40"/>
      <c r="T260" s="46"/>
      <c r="U260" s="38"/>
      <c r="V260" s="38"/>
      <c r="W260" s="43"/>
      <c r="Y260" s="1">
        <v>1</v>
      </c>
    </row>
    <row r="261" spans="1:25" ht="15.75" outlineLevel="1" thickBot="1" x14ac:dyDescent="0.3">
      <c r="A261" s="12" t="s">
        <v>5</v>
      </c>
      <c r="B261" s="16"/>
      <c r="C261" s="30">
        <v>13</v>
      </c>
      <c r="D261" s="11">
        <v>2</v>
      </c>
      <c r="E261" s="11">
        <f>IF(D261="4.5 C", 4.5, IF(D261="4.8 C", 4.8, D261))</f>
        <v>2</v>
      </c>
      <c r="F261" s="11">
        <f t="shared" ref="F261:F276" si="130">IF(L261="Full", IF(Y261=1, E261*C261, E261), IF(L261="Gap", C261, E261))</f>
        <v>26</v>
      </c>
      <c r="G261" s="2">
        <f>VLOOKUP('930-4'!D261,Table1[],2,0)</f>
        <v>2.375</v>
      </c>
      <c r="H261" s="13">
        <f>G261*3.14*2.54</f>
        <v>18.942050000000002</v>
      </c>
      <c r="I261" s="2">
        <f>ROUNDUP(H261, 0)</f>
        <v>19</v>
      </c>
      <c r="J261" s="12">
        <v>40</v>
      </c>
      <c r="K261" s="12">
        <v>50</v>
      </c>
      <c r="L261" s="16" t="s">
        <v>13</v>
      </c>
      <c r="M261" s="14">
        <f t="shared" ref="M261:M276" si="131">IF(L261="Gap",C261, IF(E261&lt;=3, 3*C261, IF(L261="Full", C261*E261/Y261, IF(J261=K261,"Error", IF(K261&lt;J261, C261*(I261+K261-J261)*H261*E261/(3.14*2.54*I261*G261), C261*(K261-J261)*H261*E261/(3.14*2.54*I261*G261))))))</f>
        <v>39</v>
      </c>
      <c r="N261" s="15">
        <f t="shared" ref="N261:N276" si="132">IF(L261=0,IF(L260=0,IF(L259=0,IF(L258=0,IF(L257=0,IF(L256=0,IF(L255="Segment",M261,0),IF(L256="Segment",M261,0)),IF(L257="Segment",M261,0)),IF(L258="Segment",M261,0)),IF(L259="Segment",M261,0)),IF(L260="Segment",M261,0)),M261)</f>
        <v>39</v>
      </c>
      <c r="O261" s="15" t="str">
        <f t="shared" ref="O261:O276" si="133">IF(OR(T261="REJ",T261="NOT DONE-CONTRACTOR"), "YES", "NO")</f>
        <v>NO</v>
      </c>
      <c r="P261" s="25" t="str">
        <f>IF(L261&lt;&gt;0, IF(L261="Gap", O261, IF(L262&lt;&gt;0,  IF(O261="NO", "NO", "YES"), IF(L263&lt;&gt;0, IF(AND(O261="NO", O262="NO"), "NO", "YES"), IF(L264&lt;&gt;0, IF(AND(O261="NO", O262="NO", O263="NO"), "NO", "YES"), IF(AND(O261="NO", O262="NO", O263="NO", O264="NO"), "NO", "YES"))))))</f>
        <v>NO</v>
      </c>
      <c r="Q261" s="25">
        <f>IF(L261=0,0,IF(L262&lt;&gt;0,N261,IF(L263&lt;&gt;0,N261+N262,IF(L264&lt;&gt;0,N261+N262+N263,IF(L265&lt;&gt;0,N261+N262+N263+N264,IF(L266&lt;&gt;0,N261+N262+N263+N264+N265,N261+N262+N263+N264+N265+N266))))))</f>
        <v>39</v>
      </c>
      <c r="R261" s="25">
        <f t="shared" ref="R261:R276" si="134">IF(OR(T261="ACC", T261="REP", T261="RS", T261="RT"), N261, 0)</f>
        <v>39</v>
      </c>
      <c r="S261" s="25">
        <f t="shared" ref="S261:S273" si="135">IF(L261=0, 0, IF(L262&lt;&gt;0, R261, IF(L263&lt;&gt;0, R261+R262, IF(L264&lt;&gt;0, R261+R262+R263, IF(L265&lt;&gt;0, R261+R262+R263+R264, IF(L266&lt;&gt;0, R261+R262+R263+R264+R265, R261+R262+R263+R264+R265+R266))))))</f>
        <v>39</v>
      </c>
      <c r="T261" s="12" t="s">
        <v>7</v>
      </c>
      <c r="U261" s="12" t="s">
        <v>35</v>
      </c>
      <c r="V261" s="25">
        <f t="shared" ref="V261:V276" si="136">IF(OR(S261=0, P261=FALSE), 0, IF(AND(Q261&gt;3*C261, Q261&gt;F261), "Segment Error", IF(OR(P261="YES", L261="Gap"), S261, IF(E261&lt;3, S261, IF(S261&gt;F261/2, F261, F261/2)))))</f>
        <v>39</v>
      </c>
      <c r="W261" s="10">
        <f>V261*2400000</f>
        <v>93600000</v>
      </c>
      <c r="Y261" s="1">
        <f t="shared" ref="Y261:Y274" si="137">IF(L261="FULL",IF(L262=0,IF(L263=0,IF(L264=0,IF(L265=0,5,4),3),2),1),IF(L261=0,Y260,1))</f>
        <v>1</v>
      </c>
    </row>
    <row r="262" spans="1:25" ht="15.75" outlineLevel="1" thickBot="1" x14ac:dyDescent="0.3">
      <c r="A262" s="12" t="s">
        <v>5</v>
      </c>
      <c r="B262" s="16"/>
      <c r="C262" s="30">
        <v>1</v>
      </c>
      <c r="D262" s="11">
        <v>3</v>
      </c>
      <c r="E262" s="11">
        <f t="shared" ref="E262:E276" si="138">IF(D262="4.5 C", 4.5, IF(D262="4.8 C", 4.8, D262))</f>
        <v>3</v>
      </c>
      <c r="F262" s="11">
        <f t="shared" si="130"/>
        <v>3</v>
      </c>
      <c r="G262" s="2">
        <f>VLOOKUP('930-4'!D262,Table1[],2,0)</f>
        <v>3.5</v>
      </c>
      <c r="H262" s="13">
        <f t="shared" ref="H262:H276" si="139">G262*3.14*2.54</f>
        <v>27.9146</v>
      </c>
      <c r="I262" s="2">
        <f t="shared" ref="I262:I276" si="140">ROUNDUP(H262, 0)</f>
        <v>28</v>
      </c>
      <c r="J262" s="12">
        <v>4</v>
      </c>
      <c r="K262" s="12">
        <v>13</v>
      </c>
      <c r="L262" s="16" t="s">
        <v>13</v>
      </c>
      <c r="M262" s="14">
        <f t="shared" si="131"/>
        <v>3</v>
      </c>
      <c r="N262" s="15">
        <f t="shared" si="132"/>
        <v>3</v>
      </c>
      <c r="O262" s="15" t="str">
        <f t="shared" si="133"/>
        <v>NO</v>
      </c>
      <c r="P262" s="25" t="str">
        <f>IF(L262&lt;&gt;0, IF(L262="Gap", O262, IF(L263&lt;&gt;0,  IF(O262="NO", "NO", "YES"), IF(L264&lt;&gt;0, IF(AND(O262="NO", O263="NO"), "NO", "YES"), IF(L265&lt;&gt;0, IF(AND(O262="NO", O263="NO", O264="NO"), "NO", "YES"), IF(AND(O262="NO", O263="NO", O264="NO", O265="NO"), "NO", "YES"))))))</f>
        <v>NO</v>
      </c>
      <c r="Q262" s="25">
        <f t="shared" ref="Q262:Q273" si="141">IF(L262=0,0,IF(L263&lt;&gt;0,N262,IF(L264&lt;&gt;0,N262+N263,IF(L265&lt;&gt;0,N262+N263+N264,IF(L266&lt;&gt;0,N262+N263+N264+N265,IF(L267&lt;&gt;0,N262+N263+N264+N265+N266,N262+N263+N264+N265+N266+N267))))))</f>
        <v>3</v>
      </c>
      <c r="R262" s="25">
        <f t="shared" si="134"/>
        <v>3</v>
      </c>
      <c r="S262" s="25">
        <f t="shared" si="135"/>
        <v>3</v>
      </c>
      <c r="T262" s="12" t="s">
        <v>7</v>
      </c>
      <c r="U262" s="12" t="s">
        <v>35</v>
      </c>
      <c r="V262" s="25">
        <f t="shared" si="136"/>
        <v>3</v>
      </c>
      <c r="W262" s="10">
        <f t="shared" ref="W262:W276" si="142">V262*2400000</f>
        <v>7200000</v>
      </c>
      <c r="Y262" s="1">
        <f t="shared" si="137"/>
        <v>1</v>
      </c>
    </row>
    <row r="263" spans="1:25" ht="15.75" outlineLevel="1" thickBot="1" x14ac:dyDescent="0.3">
      <c r="A263" s="12" t="s">
        <v>5</v>
      </c>
      <c r="B263" s="16"/>
      <c r="C263" s="30">
        <v>1</v>
      </c>
      <c r="D263" s="11">
        <v>20</v>
      </c>
      <c r="E263" s="11">
        <f t="shared" si="138"/>
        <v>20</v>
      </c>
      <c r="F263" s="11">
        <f t="shared" si="130"/>
        <v>20</v>
      </c>
      <c r="G263" s="2">
        <f>VLOOKUP('930-4'!D263,Table1[],2,0)</f>
        <v>20</v>
      </c>
      <c r="H263" s="13">
        <f t="shared" si="139"/>
        <v>159.512</v>
      </c>
      <c r="I263" s="2">
        <f t="shared" si="140"/>
        <v>160</v>
      </c>
      <c r="J263" s="12">
        <v>4</v>
      </c>
      <c r="K263" s="12">
        <v>13</v>
      </c>
      <c r="L263" s="16" t="s">
        <v>13</v>
      </c>
      <c r="M263" s="14">
        <f t="shared" si="131"/>
        <v>20</v>
      </c>
      <c r="N263" s="15">
        <f t="shared" si="132"/>
        <v>20</v>
      </c>
      <c r="O263" s="15" t="str">
        <f t="shared" si="133"/>
        <v>YES</v>
      </c>
      <c r="P263" s="25" t="str">
        <f>IF(L263&lt;&gt;0, IF(L263="Gap", O263, IF(L264&lt;&gt;0,  IF(O263="NO", "NO", "YES"), IF(L265&lt;&gt;0, IF(AND(O263="NO", O264="NO"), "NO", "YES"), IF(L271&lt;&gt;0, IF(AND(O263="NO", O264="NO", O265="NO"), "NO", "YES"), IF(AND(O263="NO", O264="NO", O265="NO", O271="NO"), "NO", "YES"))))))</f>
        <v>YES</v>
      </c>
      <c r="Q263" s="25">
        <f t="shared" si="141"/>
        <v>20</v>
      </c>
      <c r="R263" s="25">
        <f t="shared" si="134"/>
        <v>0</v>
      </c>
      <c r="S263" s="25">
        <f t="shared" si="135"/>
        <v>0</v>
      </c>
      <c r="T263" s="12" t="s">
        <v>31</v>
      </c>
      <c r="U263" s="12" t="s">
        <v>35</v>
      </c>
      <c r="V263" s="25">
        <f t="shared" si="136"/>
        <v>0</v>
      </c>
      <c r="W263" s="10">
        <f t="shared" si="142"/>
        <v>0</v>
      </c>
      <c r="X263" s="33"/>
      <c r="Y263" s="1">
        <f t="shared" si="137"/>
        <v>1</v>
      </c>
    </row>
    <row r="264" spans="1:25" ht="15.75" outlineLevel="1" thickBot="1" x14ac:dyDescent="0.3">
      <c r="A264" s="12" t="s">
        <v>5</v>
      </c>
      <c r="B264" s="16"/>
      <c r="C264" s="30">
        <v>0</v>
      </c>
      <c r="D264" s="11">
        <v>2</v>
      </c>
      <c r="E264" s="11">
        <f t="shared" si="138"/>
        <v>2</v>
      </c>
      <c r="F264" s="11">
        <f t="shared" si="130"/>
        <v>0</v>
      </c>
      <c r="G264" s="2">
        <f>VLOOKUP('930-4'!D264,Table1[],2,0)</f>
        <v>2.375</v>
      </c>
      <c r="H264" s="13">
        <f t="shared" si="139"/>
        <v>18.942050000000002</v>
      </c>
      <c r="I264" s="2">
        <f t="shared" si="140"/>
        <v>19</v>
      </c>
      <c r="J264" s="12">
        <v>20</v>
      </c>
      <c r="K264" s="12">
        <v>40</v>
      </c>
      <c r="L264" s="16" t="s">
        <v>13</v>
      </c>
      <c r="M264" s="14">
        <f t="shared" si="131"/>
        <v>0</v>
      </c>
      <c r="N264" s="15">
        <f t="shared" si="132"/>
        <v>0</v>
      </c>
      <c r="O264" s="15" t="str">
        <f t="shared" si="133"/>
        <v>NO</v>
      </c>
      <c r="P264" s="25" t="str">
        <f>IF(L264&lt;&gt;0, IF(L264="Gap", O264, IF(L265&lt;&gt;0,  IF(O264="NO", "NO", "YES"), IF(L271&lt;&gt;0, IF(AND(O264="NO", O265="NO"), "NO", "YES"), IF(L272&lt;&gt;0, IF(AND(O264="NO", O265="NO", O271="NO"), "NO", "YES"), IF(AND(O264="NO", O265="NO", O271="NO", O272="NO"), "NO", "YES"))))))</f>
        <v>NO</v>
      </c>
      <c r="Q264" s="25">
        <f t="shared" si="141"/>
        <v>0</v>
      </c>
      <c r="R264" s="25">
        <f t="shared" si="134"/>
        <v>0</v>
      </c>
      <c r="S264" s="25">
        <f t="shared" si="135"/>
        <v>0</v>
      </c>
      <c r="T264" s="12" t="s">
        <v>7</v>
      </c>
      <c r="U264" s="12" t="s">
        <v>35</v>
      </c>
      <c r="V264" s="25">
        <f t="shared" si="136"/>
        <v>0</v>
      </c>
      <c r="W264" s="10">
        <f t="shared" si="142"/>
        <v>0</v>
      </c>
      <c r="Y264" s="1">
        <f t="shared" si="137"/>
        <v>1</v>
      </c>
    </row>
    <row r="265" spans="1:25" ht="15.75" outlineLevel="1" thickBot="1" x14ac:dyDescent="0.3">
      <c r="A265" s="12" t="s">
        <v>5</v>
      </c>
      <c r="B265" s="16"/>
      <c r="C265" s="30">
        <v>0</v>
      </c>
      <c r="D265" s="11">
        <v>28</v>
      </c>
      <c r="E265" s="11">
        <f t="shared" si="138"/>
        <v>28</v>
      </c>
      <c r="F265" s="11">
        <f t="shared" si="130"/>
        <v>0</v>
      </c>
      <c r="G265" s="2">
        <f>VLOOKUP('930-4'!D265,Table1[],2,0)</f>
        <v>28</v>
      </c>
      <c r="H265" s="13">
        <f t="shared" si="139"/>
        <v>223.3168</v>
      </c>
      <c r="I265" s="2">
        <f t="shared" si="140"/>
        <v>224</v>
      </c>
      <c r="J265" s="12">
        <v>65</v>
      </c>
      <c r="K265" s="12">
        <v>85</v>
      </c>
      <c r="L265" s="16" t="s">
        <v>13</v>
      </c>
      <c r="M265" s="14">
        <f t="shared" si="131"/>
        <v>0</v>
      </c>
      <c r="N265" s="15">
        <f t="shared" si="132"/>
        <v>0</v>
      </c>
      <c r="O265" s="15" t="str">
        <f t="shared" si="133"/>
        <v>NO</v>
      </c>
      <c r="P265" s="25" t="str">
        <f>IF(L265&lt;&gt;0, IF(L265="Gap", O265, IF(L271&lt;&gt;0,  IF(O265="NO", "NO", "YES"), IF(L272&lt;&gt;0, IF(AND(O265="NO", O271="NO"), "NO", "YES"), IF(L273&lt;&gt;0, IF(AND(O265="NO", O271="NO", O272="NO"), "NO", "YES"), IF(AND(O265="NO", O271="NO", O272="NO", O273="NO"), "NO", "YES"))))))</f>
        <v>NO</v>
      </c>
      <c r="Q265" s="25">
        <f t="shared" si="141"/>
        <v>0</v>
      </c>
      <c r="R265" s="25">
        <f t="shared" si="134"/>
        <v>0</v>
      </c>
      <c r="S265" s="25">
        <f t="shared" si="135"/>
        <v>0</v>
      </c>
      <c r="T265" s="12" t="s">
        <v>7</v>
      </c>
      <c r="U265" s="12" t="s">
        <v>35</v>
      </c>
      <c r="V265" s="25">
        <f t="shared" si="136"/>
        <v>0</v>
      </c>
      <c r="W265" s="10">
        <f t="shared" si="142"/>
        <v>0</v>
      </c>
      <c r="Y265" s="1">
        <f t="shared" si="137"/>
        <v>1</v>
      </c>
    </row>
    <row r="266" spans="1:25" ht="15.75" outlineLevel="1" thickBot="1" x14ac:dyDescent="0.3">
      <c r="A266" s="12" t="s">
        <v>5</v>
      </c>
      <c r="B266" s="32"/>
      <c r="C266" s="30">
        <v>0</v>
      </c>
      <c r="D266" s="11">
        <v>10</v>
      </c>
      <c r="E266" s="11">
        <f t="shared" si="138"/>
        <v>10</v>
      </c>
      <c r="F266" s="11">
        <f t="shared" si="130"/>
        <v>0</v>
      </c>
      <c r="G266" s="2">
        <f>VLOOKUP('930-4'!D266,Table1[],2,0)</f>
        <v>10.75</v>
      </c>
      <c r="H266" s="13">
        <f t="shared" si="139"/>
        <v>85.737700000000004</v>
      </c>
      <c r="I266" s="2">
        <f t="shared" si="140"/>
        <v>86</v>
      </c>
      <c r="J266" s="12">
        <v>40</v>
      </c>
      <c r="K266" s="12">
        <v>125</v>
      </c>
      <c r="L266" s="16" t="s">
        <v>13</v>
      </c>
      <c r="M266" s="14">
        <f t="shared" si="131"/>
        <v>0</v>
      </c>
      <c r="N266" s="15">
        <f t="shared" si="132"/>
        <v>0</v>
      </c>
      <c r="O266" s="15" t="str">
        <f t="shared" si="133"/>
        <v>NO</v>
      </c>
      <c r="P266" s="25" t="str">
        <f>IF(L266&lt;&gt;0, IF(L266="Gap", O266, IF(L267&lt;&gt;0,  IF(O266="NO", "NO", "YES"), IF(L268&lt;&gt;0, IF(AND(O266="NO", O267="NO"), "NO", "YES"), IF(L269&lt;&gt;0, IF(AND(O266="NO", O267="NO", O268="NO"), "NO", "YES"), IF(AND(O266="NO", O267="NO", O268="NO", O269="NO"), "NO", "YES"))))))</f>
        <v>NO</v>
      </c>
      <c r="Q266" s="25">
        <f t="shared" si="141"/>
        <v>0</v>
      </c>
      <c r="R266" s="25">
        <f t="shared" si="134"/>
        <v>0</v>
      </c>
      <c r="S266" s="25">
        <f t="shared" si="135"/>
        <v>0</v>
      </c>
      <c r="T266" s="12" t="s">
        <v>7</v>
      </c>
      <c r="U266" s="12" t="s">
        <v>35</v>
      </c>
      <c r="V266" s="25">
        <f t="shared" si="136"/>
        <v>0</v>
      </c>
      <c r="W266" s="10">
        <f t="shared" si="142"/>
        <v>0</v>
      </c>
      <c r="Y266" s="1">
        <f t="shared" si="137"/>
        <v>1</v>
      </c>
    </row>
    <row r="267" spans="1:25" ht="15.75" outlineLevel="1" thickBot="1" x14ac:dyDescent="0.3">
      <c r="A267" s="12" t="s">
        <v>5</v>
      </c>
      <c r="B267" s="16"/>
      <c r="C267" s="30">
        <v>0</v>
      </c>
      <c r="D267" s="11">
        <v>6</v>
      </c>
      <c r="E267" s="11">
        <f t="shared" si="138"/>
        <v>6</v>
      </c>
      <c r="F267" s="11">
        <f t="shared" si="130"/>
        <v>6</v>
      </c>
      <c r="G267" s="2">
        <f>VLOOKUP('930-4'!D267,Table1[],2,0)</f>
        <v>6.625</v>
      </c>
      <c r="H267" s="13">
        <f t="shared" si="139"/>
        <v>52.838350000000005</v>
      </c>
      <c r="I267" s="2">
        <f t="shared" si="140"/>
        <v>53</v>
      </c>
      <c r="J267" s="12">
        <v>40</v>
      </c>
      <c r="K267" s="12">
        <v>125</v>
      </c>
      <c r="L267" s="16" t="s">
        <v>34</v>
      </c>
      <c r="M267" s="14">
        <f t="shared" si="131"/>
        <v>0</v>
      </c>
      <c r="N267" s="15">
        <f t="shared" si="132"/>
        <v>0</v>
      </c>
      <c r="O267" s="15" t="str">
        <f t="shared" si="133"/>
        <v>NO</v>
      </c>
      <c r="P267" s="25" t="str">
        <f>IF(L267&lt;&gt;0, IF(L267="Gap", O267, IF(L268&lt;&gt;0,  IF(O267="NO", "NO", "YES"), IF(L269&lt;&gt;0, IF(AND(O267="NO", O268="NO"), "NO", "YES"), IF(L271&lt;&gt;0, IF(AND(O267="NO", O268="NO", O269="NO"), "NO", "YES"), IF(AND(O267="NO", O268="NO", O269="NO", O271="NO"), "NO", "YES"))))))</f>
        <v>NO</v>
      </c>
      <c r="Q267" s="25">
        <f t="shared" si="141"/>
        <v>0</v>
      </c>
      <c r="R267" s="25">
        <f t="shared" si="134"/>
        <v>0</v>
      </c>
      <c r="S267" s="25">
        <f t="shared" si="135"/>
        <v>0</v>
      </c>
      <c r="T267" s="12" t="s">
        <v>7</v>
      </c>
      <c r="U267" s="12" t="s">
        <v>35</v>
      </c>
      <c r="V267" s="25">
        <f t="shared" si="136"/>
        <v>0</v>
      </c>
      <c r="W267" s="10">
        <f t="shared" si="142"/>
        <v>0</v>
      </c>
      <c r="Y267" s="1">
        <f t="shared" si="137"/>
        <v>1</v>
      </c>
    </row>
    <row r="268" spans="1:25" ht="15.75" outlineLevel="1" thickBot="1" x14ac:dyDescent="0.3">
      <c r="A268" s="12" t="s">
        <v>5</v>
      </c>
      <c r="B268" s="16"/>
      <c r="C268" s="30">
        <v>0</v>
      </c>
      <c r="D268" s="11">
        <v>18</v>
      </c>
      <c r="E268" s="11">
        <f t="shared" si="138"/>
        <v>18</v>
      </c>
      <c r="F268" s="11">
        <f t="shared" si="130"/>
        <v>18</v>
      </c>
      <c r="G268" s="2">
        <f>VLOOKUP('930-4'!D268,Table1[],2,0)</f>
        <v>18</v>
      </c>
      <c r="H268" s="13">
        <f t="shared" si="139"/>
        <v>143.5608</v>
      </c>
      <c r="I268" s="2">
        <f t="shared" si="140"/>
        <v>144</v>
      </c>
      <c r="J268" s="12">
        <v>40</v>
      </c>
      <c r="K268" s="12">
        <v>45</v>
      </c>
      <c r="L268" s="34" t="s">
        <v>34</v>
      </c>
      <c r="M268" s="14">
        <f t="shared" si="131"/>
        <v>0</v>
      </c>
      <c r="N268" s="15">
        <f t="shared" si="132"/>
        <v>0</v>
      </c>
      <c r="O268" s="15" t="str">
        <f t="shared" si="133"/>
        <v>NO</v>
      </c>
      <c r="P268" s="25" t="str">
        <f>IF(L268&lt;&gt;0, IF(L268="Gap", O268, IF(L269&lt;&gt;0,  IF(O268="NO", "NO", "YES"), IF(L271&lt;&gt;0, IF(AND(O268="NO", O269="NO"), "NO", "YES"), IF(L272&lt;&gt;0, IF(AND(O268="NO", O269="NO", O271="NO"), "NO", "YES"), IF(AND(O268="NO", O269="NO", O271="NO", O272="NO"), "NO", "YES"))))))</f>
        <v>NO</v>
      </c>
      <c r="Q268" s="25">
        <f t="shared" si="141"/>
        <v>0</v>
      </c>
      <c r="R268" s="25">
        <f t="shared" si="134"/>
        <v>0</v>
      </c>
      <c r="S268" s="25">
        <f t="shared" si="135"/>
        <v>0</v>
      </c>
      <c r="T268" s="12" t="s">
        <v>7</v>
      </c>
      <c r="U268" s="12" t="s">
        <v>35</v>
      </c>
      <c r="V268" s="25">
        <f t="shared" si="136"/>
        <v>0</v>
      </c>
      <c r="W268" s="10">
        <f t="shared" si="142"/>
        <v>0</v>
      </c>
      <c r="Y268" s="1">
        <f t="shared" si="137"/>
        <v>1</v>
      </c>
    </row>
    <row r="269" spans="1:25" ht="15.75" outlineLevel="1" thickBot="1" x14ac:dyDescent="0.3">
      <c r="A269" s="16" t="s">
        <v>5</v>
      </c>
      <c r="B269" s="16"/>
      <c r="C269" s="30">
        <v>0</v>
      </c>
      <c r="D269" s="17">
        <v>18</v>
      </c>
      <c r="E269" s="11">
        <f t="shared" si="138"/>
        <v>18</v>
      </c>
      <c r="F269" s="11">
        <f t="shared" si="130"/>
        <v>18</v>
      </c>
      <c r="G269" s="2">
        <f>VLOOKUP('930-4'!D269,Table1[],2,0)</f>
        <v>18</v>
      </c>
      <c r="H269" s="19">
        <f t="shared" si="139"/>
        <v>143.5608</v>
      </c>
      <c r="I269" s="18">
        <f t="shared" si="140"/>
        <v>144</v>
      </c>
      <c r="J269" s="12">
        <v>40</v>
      </c>
      <c r="K269" s="12">
        <v>10</v>
      </c>
      <c r="L269" s="35"/>
      <c r="M269" s="14">
        <f t="shared" si="131"/>
        <v>0</v>
      </c>
      <c r="N269" s="15">
        <f t="shared" si="132"/>
        <v>0</v>
      </c>
      <c r="O269" s="15" t="str">
        <f t="shared" si="133"/>
        <v>NO</v>
      </c>
      <c r="P269" s="25" t="b">
        <f>IF(L269&lt;&gt;0, IF(L269="Gap", O269, IF(L271&lt;&gt;0,  IF(O269="NO", "NO", "YES"), IF(L272&lt;&gt;0, IF(AND(O269="NO", O271="NO"), "NO", "YES"), IF(L273&lt;&gt;0, IF(AND(O269="NO", O271="NO", O272="NO"), "NO", "YES"), IF(AND(O269="NO", O271="NO", O272="NO", O273="NO"), "NO", "YES"))))))</f>
        <v>0</v>
      </c>
      <c r="Q269" s="25">
        <f t="shared" si="141"/>
        <v>0</v>
      </c>
      <c r="R269" s="25">
        <f t="shared" si="134"/>
        <v>0</v>
      </c>
      <c r="S269" s="25">
        <f t="shared" si="135"/>
        <v>0</v>
      </c>
      <c r="T269" s="12" t="s">
        <v>7</v>
      </c>
      <c r="U269" s="12" t="s">
        <v>35</v>
      </c>
      <c r="V269" s="25">
        <f t="shared" si="136"/>
        <v>0</v>
      </c>
      <c r="W269" s="10">
        <f t="shared" si="142"/>
        <v>0</v>
      </c>
      <c r="Y269" s="1">
        <f t="shared" si="137"/>
        <v>1</v>
      </c>
    </row>
    <row r="270" spans="1:25" ht="15.75" outlineLevel="1" thickBot="1" x14ac:dyDescent="0.3">
      <c r="A270" s="12" t="s">
        <v>5</v>
      </c>
      <c r="B270" s="16"/>
      <c r="C270" s="30">
        <v>0</v>
      </c>
      <c r="D270" s="11">
        <v>10</v>
      </c>
      <c r="E270" s="11">
        <f t="shared" si="138"/>
        <v>10</v>
      </c>
      <c r="F270" s="11">
        <f t="shared" si="130"/>
        <v>0</v>
      </c>
      <c r="G270" s="2">
        <f>VLOOKUP('930-4'!D270,Table1[],2,0)</f>
        <v>10.75</v>
      </c>
      <c r="H270" s="13">
        <f t="shared" si="139"/>
        <v>85.737700000000004</v>
      </c>
      <c r="I270" s="2">
        <f t="shared" si="140"/>
        <v>86</v>
      </c>
      <c r="J270" s="12">
        <v>40</v>
      </c>
      <c r="K270" s="12">
        <v>35</v>
      </c>
      <c r="L270" s="16" t="s">
        <v>13</v>
      </c>
      <c r="M270" s="14">
        <f t="shared" si="131"/>
        <v>0</v>
      </c>
      <c r="N270" s="15">
        <f t="shared" si="132"/>
        <v>0</v>
      </c>
      <c r="O270" s="15" t="str">
        <f t="shared" si="133"/>
        <v>NO</v>
      </c>
      <c r="P270" s="25" t="str">
        <f>IF(L270&lt;&gt;0, IF(L270="Gap", O270, IF(L276&lt;&gt;0,  IF(O270="NO", "NO", "YES"), IF(L277&lt;&gt;0, IF(AND(O270="NO", O276="NO"), "NO", "YES"), IF(L278&lt;&gt;0, IF(AND(O270="NO", O276="NO", O277="NO"), "NO", "YES"), IF(AND(O270="NO", O276="NO", O277="NO", O278="NO"), "NO", "YES"))))))</f>
        <v>NO</v>
      </c>
      <c r="Q270" s="25">
        <f t="shared" si="141"/>
        <v>0</v>
      </c>
      <c r="R270" s="25">
        <f t="shared" si="134"/>
        <v>0</v>
      </c>
      <c r="S270" s="25">
        <f t="shared" si="135"/>
        <v>0</v>
      </c>
      <c r="T270" s="12" t="s">
        <v>7</v>
      </c>
      <c r="U270" s="12" t="s">
        <v>35</v>
      </c>
      <c r="V270" s="25">
        <f t="shared" si="136"/>
        <v>0</v>
      </c>
      <c r="W270" s="10">
        <f t="shared" si="142"/>
        <v>0</v>
      </c>
      <c r="Y270" s="1">
        <f t="shared" si="137"/>
        <v>1</v>
      </c>
    </row>
    <row r="271" spans="1:25" ht="15.75" outlineLevel="1" thickBot="1" x14ac:dyDescent="0.3">
      <c r="A271" s="12" t="s">
        <v>5</v>
      </c>
      <c r="B271" s="32"/>
      <c r="C271" s="30">
        <v>0</v>
      </c>
      <c r="D271" s="11">
        <v>10</v>
      </c>
      <c r="E271" s="11">
        <f t="shared" si="138"/>
        <v>10</v>
      </c>
      <c r="F271" s="11">
        <f t="shared" si="130"/>
        <v>10</v>
      </c>
      <c r="G271" s="2">
        <f>VLOOKUP('930-4'!D271,Table1[],2,0)</f>
        <v>10.75</v>
      </c>
      <c r="H271" s="13">
        <f t="shared" si="139"/>
        <v>85.737700000000004</v>
      </c>
      <c r="I271" s="2">
        <f t="shared" si="140"/>
        <v>86</v>
      </c>
      <c r="J271" s="12">
        <v>40</v>
      </c>
      <c r="K271" s="12">
        <v>50</v>
      </c>
      <c r="L271" s="34" t="s">
        <v>34</v>
      </c>
      <c r="M271" s="14">
        <f t="shared" si="131"/>
        <v>0</v>
      </c>
      <c r="N271" s="15">
        <f t="shared" si="132"/>
        <v>0</v>
      </c>
      <c r="O271" s="15" t="str">
        <f t="shared" si="133"/>
        <v>NO</v>
      </c>
      <c r="P271" s="25" t="str">
        <f>IF(L271&lt;&gt;0, IF(L271="Gap", O271, IF(L272&lt;&gt;0,  IF(O271="NO", "NO", "YES"), IF(L273&lt;&gt;0, IF(AND(O271="NO", O272="NO"), "NO", "YES"), IF(L274&lt;&gt;0, IF(AND(O271="NO", O272="NO", O273="NO"), "NO", "YES"), IF(AND(O271="NO", O272="NO", O273="NO", O274="NO"), "NO", "YES"))))))</f>
        <v>NO</v>
      </c>
      <c r="Q271" s="25">
        <f t="shared" si="141"/>
        <v>0</v>
      </c>
      <c r="R271" s="25">
        <f t="shared" si="134"/>
        <v>0</v>
      </c>
      <c r="S271" s="25">
        <f t="shared" si="135"/>
        <v>0</v>
      </c>
      <c r="T271" s="12" t="s">
        <v>7</v>
      </c>
      <c r="U271" s="12" t="s">
        <v>35</v>
      </c>
      <c r="V271" s="25">
        <f t="shared" si="136"/>
        <v>0</v>
      </c>
      <c r="W271" s="10">
        <f t="shared" si="142"/>
        <v>0</v>
      </c>
      <c r="Y271" s="1">
        <f t="shared" si="137"/>
        <v>1</v>
      </c>
    </row>
    <row r="272" spans="1:25" ht="15.75" outlineLevel="1" thickBot="1" x14ac:dyDescent="0.3">
      <c r="A272" s="12" t="s">
        <v>5</v>
      </c>
      <c r="B272" s="16"/>
      <c r="C272" s="30">
        <v>0</v>
      </c>
      <c r="D272" s="11">
        <v>10</v>
      </c>
      <c r="E272" s="11">
        <f t="shared" si="138"/>
        <v>10</v>
      </c>
      <c r="F272" s="11">
        <f t="shared" si="130"/>
        <v>10</v>
      </c>
      <c r="G272" s="2">
        <f>VLOOKUP('930-4'!D272,Table1[],2,0)</f>
        <v>10.75</v>
      </c>
      <c r="H272" s="13">
        <f t="shared" si="139"/>
        <v>85.737700000000004</v>
      </c>
      <c r="I272" s="2">
        <f t="shared" si="140"/>
        <v>86</v>
      </c>
      <c r="J272" s="12">
        <v>40</v>
      </c>
      <c r="K272" s="12">
        <v>80</v>
      </c>
      <c r="L272" s="35"/>
      <c r="M272" s="14">
        <f t="shared" si="131"/>
        <v>0</v>
      </c>
      <c r="N272" s="15">
        <f t="shared" si="132"/>
        <v>0</v>
      </c>
      <c r="O272" s="15" t="str">
        <f t="shared" si="133"/>
        <v>NO</v>
      </c>
      <c r="P272" s="25" t="b">
        <f>IF(L272&lt;&gt;0, IF(L272="Gap", O272, IF(L273&lt;&gt;0,  IF(O272="NO", "NO", "YES"), IF(L274&lt;&gt;0, IF(AND(O272="NO", O273="NO"), "NO", "YES"), IF(L276&lt;&gt;0, IF(AND(O272="NO", O273="NO", O274="NO"), "NO", "YES"), IF(AND(O272="NO", O273="NO", O274="NO", O276="NO"), "NO", "YES"))))))</f>
        <v>0</v>
      </c>
      <c r="Q272" s="25">
        <f t="shared" si="141"/>
        <v>0</v>
      </c>
      <c r="R272" s="25">
        <f t="shared" si="134"/>
        <v>0</v>
      </c>
      <c r="S272" s="25">
        <f t="shared" si="135"/>
        <v>0</v>
      </c>
      <c r="T272" s="12" t="s">
        <v>7</v>
      </c>
      <c r="U272" s="12" t="s">
        <v>35</v>
      </c>
      <c r="V272" s="25">
        <f t="shared" si="136"/>
        <v>0</v>
      </c>
      <c r="W272" s="10">
        <f t="shared" si="142"/>
        <v>0</v>
      </c>
      <c r="Y272" s="1">
        <f t="shared" si="137"/>
        <v>1</v>
      </c>
    </row>
    <row r="273" spans="1:25" ht="15.75" outlineLevel="1" thickBot="1" x14ac:dyDescent="0.3">
      <c r="A273" s="12" t="s">
        <v>5</v>
      </c>
      <c r="B273" s="16"/>
      <c r="C273" s="30">
        <v>0</v>
      </c>
      <c r="D273" s="11">
        <v>10</v>
      </c>
      <c r="E273" s="11">
        <f t="shared" si="138"/>
        <v>10</v>
      </c>
      <c r="F273" s="11">
        <f t="shared" si="130"/>
        <v>10</v>
      </c>
      <c r="G273" s="2">
        <f>VLOOKUP('930-4'!D273,Table1[],2,0)</f>
        <v>10.75</v>
      </c>
      <c r="H273" s="13">
        <f t="shared" si="139"/>
        <v>85.737700000000004</v>
      </c>
      <c r="I273" s="2">
        <f t="shared" si="140"/>
        <v>86</v>
      </c>
      <c r="J273" s="12">
        <v>40</v>
      </c>
      <c r="K273" s="12">
        <v>55</v>
      </c>
      <c r="L273" s="34" t="s">
        <v>34</v>
      </c>
      <c r="M273" s="14">
        <f t="shared" si="131"/>
        <v>0</v>
      </c>
      <c r="N273" s="15">
        <f t="shared" si="132"/>
        <v>0</v>
      </c>
      <c r="O273" s="15" t="str">
        <f t="shared" si="133"/>
        <v>NO</v>
      </c>
      <c r="P273" s="25" t="str">
        <f>IF(L273&lt;&gt;0, IF(L273="Gap", O273, IF(L274&lt;&gt;0,  IF(O273="NO", "NO", "YES"), IF(L276&lt;&gt;0, IF(AND(O273="NO", O274="NO"), "NO", "YES"), IF(L277&lt;&gt;0, IF(AND(O273="NO", O274="NO", O276="NO"), "NO", "YES"), IF(AND(O273="NO", O274="NO", O276="NO", O277="NO"), "NO", "YES"))))))</f>
        <v>NO</v>
      </c>
      <c r="Q273" s="25">
        <f t="shared" si="141"/>
        <v>0</v>
      </c>
      <c r="R273" s="25">
        <f t="shared" si="134"/>
        <v>0</v>
      </c>
      <c r="S273" s="25">
        <f t="shared" si="135"/>
        <v>0</v>
      </c>
      <c r="T273" s="12" t="s">
        <v>7</v>
      </c>
      <c r="U273" s="12" t="s">
        <v>35</v>
      </c>
      <c r="V273" s="25">
        <f t="shared" si="136"/>
        <v>0</v>
      </c>
      <c r="W273" s="10">
        <f t="shared" si="142"/>
        <v>0</v>
      </c>
      <c r="Y273" s="1">
        <f t="shared" si="137"/>
        <v>1</v>
      </c>
    </row>
    <row r="274" spans="1:25" ht="15.75" outlineLevel="1" thickBot="1" x14ac:dyDescent="0.3">
      <c r="A274" s="16" t="s">
        <v>5</v>
      </c>
      <c r="B274" s="16"/>
      <c r="C274" s="30">
        <v>0</v>
      </c>
      <c r="D274" s="17">
        <v>10</v>
      </c>
      <c r="E274" s="11">
        <f t="shared" si="138"/>
        <v>10</v>
      </c>
      <c r="F274" s="11">
        <f t="shared" si="130"/>
        <v>10</v>
      </c>
      <c r="G274" s="2">
        <f>VLOOKUP('930-4'!D274,Table1[],2,0)</f>
        <v>10.75</v>
      </c>
      <c r="H274" s="19">
        <f t="shared" si="139"/>
        <v>85.737700000000004</v>
      </c>
      <c r="I274" s="18">
        <f t="shared" si="140"/>
        <v>86</v>
      </c>
      <c r="J274" s="12">
        <v>40</v>
      </c>
      <c r="K274" s="12">
        <v>75</v>
      </c>
      <c r="L274" s="35"/>
      <c r="M274" s="14">
        <f t="shared" si="131"/>
        <v>0</v>
      </c>
      <c r="N274" s="15">
        <f t="shared" si="132"/>
        <v>0</v>
      </c>
      <c r="O274" s="15" t="str">
        <f t="shared" si="133"/>
        <v>NO</v>
      </c>
      <c r="P274" s="25" t="b">
        <f>IF(L274&lt;&gt;0, IF(L274="Gap", O274, IF(L276&lt;&gt;0,  IF(O274="NO", "NO", "YES"), IF(L277&lt;&gt;0, IF(AND(O274="NO", O276="NO"), "NO", "YES"), IF(L278&lt;&gt;0, IF(AND(O274="NO", O276="NO", O277="NO"), "NO", "YES"), IF(AND(O274="NO", O276="NO", O277="NO", O278="NO"), "NO", "YES"))))))</f>
        <v>0</v>
      </c>
      <c r="Q274" s="25">
        <f>IF(L274=0,0,IF(L275&lt;&gt;0,N274,IF(L276&lt;&gt;0,N274+N275,IF(L277&lt;&gt;0,N274+N275+N276,IF(L278&lt;&gt;0,N274+N275+N276+N277,IF(#REF!&lt;&gt;0,N274+N275+N276+N277+N278,N274+N275+N276+N277+N278+#REF!))))))</f>
        <v>0</v>
      </c>
      <c r="R274" s="25">
        <f t="shared" si="134"/>
        <v>0</v>
      </c>
      <c r="S274" s="25">
        <f>IF(L274=0, 0, IF(L275&lt;&gt;0, R274, IF(L276&lt;&gt;0, R274+R275, IF(L277&lt;&gt;0, R274+R275+R276, IF(L278&lt;&gt;0, R274+R275+R276+R277, IF(#REF!&lt;&gt;0, R274+R275+R276+R277+R278, R274+R275+R276+R277+R278+#REF!))))))</f>
        <v>0</v>
      </c>
      <c r="T274" s="12" t="s">
        <v>7</v>
      </c>
      <c r="U274" s="12" t="s">
        <v>35</v>
      </c>
      <c r="V274" s="25">
        <f t="shared" si="136"/>
        <v>0</v>
      </c>
      <c r="W274" s="10">
        <f t="shared" si="142"/>
        <v>0</v>
      </c>
      <c r="Y274" s="1">
        <f t="shared" si="137"/>
        <v>1</v>
      </c>
    </row>
    <row r="275" spans="1:25" ht="15.75" outlineLevel="1" thickBot="1" x14ac:dyDescent="0.3">
      <c r="A275" s="16"/>
      <c r="B275" s="16"/>
      <c r="C275" s="30">
        <v>0</v>
      </c>
      <c r="D275" s="17">
        <v>10</v>
      </c>
      <c r="E275" s="11">
        <f t="shared" si="138"/>
        <v>10</v>
      </c>
      <c r="F275" s="11">
        <f t="shared" si="130"/>
        <v>0</v>
      </c>
      <c r="G275" s="2">
        <f>VLOOKUP('930-4'!D275,Table1[],2,0)</f>
        <v>10.75</v>
      </c>
      <c r="H275" s="19">
        <f t="shared" si="139"/>
        <v>85.737700000000004</v>
      </c>
      <c r="I275" s="18">
        <f t="shared" si="140"/>
        <v>86</v>
      </c>
      <c r="J275" s="12">
        <v>40</v>
      </c>
      <c r="K275" s="12">
        <v>45</v>
      </c>
      <c r="L275" s="16" t="s">
        <v>13</v>
      </c>
      <c r="M275" s="14">
        <f t="shared" si="131"/>
        <v>0</v>
      </c>
      <c r="N275" s="15">
        <f t="shared" si="132"/>
        <v>0</v>
      </c>
      <c r="O275" s="15" t="str">
        <f t="shared" si="133"/>
        <v>NO</v>
      </c>
      <c r="P275" s="25" t="str">
        <f>IF(L275&lt;&gt;0, IF(L275="Gap", O275, IF(L276&lt;&gt;0,  IF(O275="NO", "NO", "YES"), IF(L277&lt;&gt;0, IF(AND(O275="NO", O276="NO"), "NO", "YES"), IF(L278&lt;&gt;0, IF(AND(O275="NO", O276="NO", O277="NO"), "NO", "YES"), IF(AND(O275="NO", O276="NO", O277="NO", O278="NO"), "NO", "YES"))))))</f>
        <v>NO</v>
      </c>
      <c r="Q275" s="25">
        <f>IF(L275=0,0,IF(L276&lt;&gt;0,N275,IF(L277&lt;&gt;0,N275+N276,IF(L278&lt;&gt;0,N275+N276+N277,IF(#REF!&lt;&gt;0,N275+N276+N277+N278,IF(#REF!&lt;&gt;0,N275+N276+N277+N278+#REF!,N275+N276+N277+N278+#REF!+#REF!))))))</f>
        <v>0</v>
      </c>
      <c r="R275" s="25">
        <f t="shared" si="134"/>
        <v>0</v>
      </c>
      <c r="S275" s="25">
        <f>IF(L275=0, 0, IF(L276&lt;&gt;0, R275, IF(L277&lt;&gt;0, R275+R276, IF(L278&lt;&gt;0, R275+R276+R277, IF(#REF!&lt;&gt;0, R275+R276+R277+R278, IF(#REF!&lt;&gt;0, R275+R276+R277+R278+#REF!, R275+R276+R277+R278+#REF!+#REF!))))))</f>
        <v>0</v>
      </c>
      <c r="T275" s="12" t="s">
        <v>7</v>
      </c>
      <c r="U275" s="12" t="s">
        <v>35</v>
      </c>
      <c r="V275" s="25">
        <f t="shared" si="136"/>
        <v>0</v>
      </c>
      <c r="W275" s="10">
        <f t="shared" si="142"/>
        <v>0</v>
      </c>
      <c r="Y275" s="1">
        <f>IF(L275="FULL",IF(L276=0,IF(L277=0,IF(L278=0,IF(#REF!=0,5,4),3),2),1),IF(L275=0,Y274,1))</f>
        <v>1</v>
      </c>
    </row>
    <row r="276" spans="1:25" outlineLevel="1" x14ac:dyDescent="0.25">
      <c r="A276" s="16"/>
      <c r="B276" s="16"/>
      <c r="C276" s="30">
        <v>0</v>
      </c>
      <c r="D276" s="17">
        <v>2</v>
      </c>
      <c r="E276" s="11">
        <f t="shared" si="138"/>
        <v>2</v>
      </c>
      <c r="F276" s="11">
        <f t="shared" si="130"/>
        <v>0</v>
      </c>
      <c r="G276" s="2">
        <f>VLOOKUP('930-4'!D276,Table1[],2,0)</f>
        <v>2.375</v>
      </c>
      <c r="H276" s="19">
        <f t="shared" si="139"/>
        <v>18.942050000000002</v>
      </c>
      <c r="I276" s="18">
        <f t="shared" si="140"/>
        <v>19</v>
      </c>
      <c r="J276" s="12">
        <v>40</v>
      </c>
      <c r="K276" s="12">
        <v>45</v>
      </c>
      <c r="L276" s="16" t="s">
        <v>13</v>
      </c>
      <c r="M276" s="14">
        <f t="shared" si="131"/>
        <v>0</v>
      </c>
      <c r="N276" s="15">
        <f t="shared" si="132"/>
        <v>0</v>
      </c>
      <c r="O276" s="15" t="str">
        <f t="shared" si="133"/>
        <v>NO</v>
      </c>
      <c r="P276" s="25" t="str">
        <f>IF(L276&lt;&gt;0, IF(L276="Gap", O276, IF(L277&lt;&gt;0,  IF(O276="NO", "NO", "YES"), IF(L278&lt;&gt;0, IF(AND(O276="NO", O277="NO"), "NO", "YES"), IF(#REF!&lt;&gt;0, IF(AND(O276="NO", O277="NO", O278="NO"), "NO", "YES"), IF(AND(O276="NO", O277="NO", O278="NO",#REF!= "NO"), "NO", "YES"))))))</f>
        <v>NO</v>
      </c>
      <c r="Q276" s="25">
        <f>IF(L276=0,0,IF(L277&lt;&gt;0,N276,IF(L278&lt;&gt;0,N276+N277,IF(#REF!&lt;&gt;0,N276+N277+N278,IF(#REF!&lt;&gt;0,N276+N277+N278+#REF!,IF(#REF!&lt;&gt;0,N276+N277+N278+#REF!+#REF!,N276+N277+N278+#REF!+#REF!+#REF!))))))</f>
        <v>0</v>
      </c>
      <c r="R276" s="25">
        <f t="shared" si="134"/>
        <v>0</v>
      </c>
      <c r="S276" s="25">
        <f>IF(L276=0, 0, IF(L277&lt;&gt;0, R276, IF(L278&lt;&gt;0, R276+R277, IF(#REF!&lt;&gt;0, R276+R277+R278, IF(#REF!&lt;&gt;0, R276+R277+R278+#REF!, IF(#REF!&lt;&gt;0, R276+R277+R278+#REF!+#REF!, R276+R277+R278+#REF!+#REF!+#REF!))))))</f>
        <v>0</v>
      </c>
      <c r="T276" s="12" t="s">
        <v>7</v>
      </c>
      <c r="U276" s="12" t="s">
        <v>35</v>
      </c>
      <c r="V276" s="25">
        <f t="shared" si="136"/>
        <v>0</v>
      </c>
      <c r="W276" s="10">
        <f t="shared" si="142"/>
        <v>0</v>
      </c>
      <c r="Y276" s="1">
        <f>IF(L276="FULL",IF(L277=0,IF(L278=0,IF(#REF!=0,IF(#REF!=0,5,4),3),2),1),IF(L276=0,Y275,1))</f>
        <v>1</v>
      </c>
    </row>
    <row r="277" spans="1:25" ht="15" customHeight="1" outlineLevel="1" x14ac:dyDescent="0.25">
      <c r="A277" s="29" t="s">
        <v>20</v>
      </c>
      <c r="B277" s="29" t="s">
        <v>20</v>
      </c>
      <c r="C277" s="29" t="s">
        <v>20</v>
      </c>
      <c r="D277" s="29" t="s">
        <v>20</v>
      </c>
      <c r="E277" s="29" t="s">
        <v>20</v>
      </c>
      <c r="F277" s="29"/>
      <c r="G277" s="29" t="s">
        <v>20</v>
      </c>
      <c r="H277" s="29" t="s">
        <v>20</v>
      </c>
      <c r="I277" s="29" t="s">
        <v>20</v>
      </c>
      <c r="J277" s="29" t="s">
        <v>20</v>
      </c>
      <c r="K277" s="29" t="s">
        <v>20</v>
      </c>
      <c r="L277" s="29" t="s">
        <v>20</v>
      </c>
      <c r="M277" s="29" t="s">
        <v>20</v>
      </c>
      <c r="N277" s="29" t="s">
        <v>20</v>
      </c>
      <c r="O277" s="29" t="s">
        <v>20</v>
      </c>
      <c r="P277" s="29" t="s">
        <v>20</v>
      </c>
      <c r="Q277" s="29" t="s">
        <v>20</v>
      </c>
      <c r="R277" s="29" t="s">
        <v>20</v>
      </c>
      <c r="S277" s="29" t="s">
        <v>20</v>
      </c>
      <c r="T277" s="29" t="s">
        <v>20</v>
      </c>
      <c r="U277" s="29" t="s">
        <v>20</v>
      </c>
      <c r="V277" s="29" t="s">
        <v>20</v>
      </c>
      <c r="W277" s="29" t="s">
        <v>20</v>
      </c>
      <c r="Y277" s="1">
        <f>IF(L277="FULL",IF(L278=0,IF(#REF!=0,IF(#REF!=0,IF(#REF!=0,5,4),3),2),1),IF(L277=0,Y276,1))</f>
        <v>1</v>
      </c>
    </row>
    <row r="278" spans="1:25" ht="15.75" thickBot="1" x14ac:dyDescent="0.3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21"/>
      <c r="N278" s="21"/>
      <c r="O278" s="21"/>
      <c r="P278" s="21"/>
      <c r="Q278" s="31">
        <f>SUM(Q261:Q276)</f>
        <v>62</v>
      </c>
      <c r="R278" s="31"/>
      <c r="S278" s="31">
        <f>SUM(R261:R276)</f>
        <v>42</v>
      </c>
      <c r="T278" s="31"/>
      <c r="U278" s="20"/>
      <c r="V278" s="21">
        <f>IF(COUNTIF(V261:V276,  "Segment Error")=0, IF(AND(SUM(V261:V276)&lt;50, COUNTIF(P261:P276, "YES")=0), 50, SUM(V261:V276)), "Segment Error")</f>
        <v>42</v>
      </c>
      <c r="W278" s="22">
        <f>V278*2400000</f>
        <v>100800000</v>
      </c>
      <c r="Y278" s="1">
        <f>IF(L278="FULL",IF(#REF!=0,IF(#REF!=0,IF(#REF!=0,IF(#REF!=0,5,4),3),2),1),IF(L278=0,Y277,1))</f>
        <v>1</v>
      </c>
    </row>
    <row r="279" spans="1:25" ht="27" customHeight="1" x14ac:dyDescent="0.25">
      <c r="A279" s="44" t="s">
        <v>49</v>
      </c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Y279" s="27" t="s">
        <v>17</v>
      </c>
    </row>
    <row r="280" spans="1:25" ht="15" hidden="1" customHeight="1" x14ac:dyDescent="0.25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Y280" s="1">
        <v>1</v>
      </c>
    </row>
    <row r="281" spans="1:25" ht="15" hidden="1" customHeight="1" x14ac:dyDescent="0.25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Y281" s="1">
        <v>1</v>
      </c>
    </row>
    <row r="282" spans="1:25" ht="15" hidden="1" customHeight="1" x14ac:dyDescent="0.25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Y282" s="1">
        <v>1</v>
      </c>
    </row>
    <row r="283" spans="1:25" ht="15.75" thickBot="1" x14ac:dyDescent="0.3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Y283" s="1">
        <v>1</v>
      </c>
    </row>
    <row r="284" spans="1:25" ht="30" customHeight="1" x14ac:dyDescent="0.25">
      <c r="A284" s="37" t="s">
        <v>0</v>
      </c>
      <c r="B284" s="37" t="s">
        <v>8</v>
      </c>
      <c r="C284" s="39" t="s">
        <v>29</v>
      </c>
      <c r="D284" s="37" t="s">
        <v>28</v>
      </c>
      <c r="E284" s="37" t="s">
        <v>28</v>
      </c>
      <c r="F284" s="39" t="s">
        <v>33</v>
      </c>
      <c r="G284" s="39" t="s">
        <v>16</v>
      </c>
      <c r="H284" s="37" t="s">
        <v>9</v>
      </c>
      <c r="I284" s="39" t="s">
        <v>12</v>
      </c>
      <c r="J284" s="41" t="s">
        <v>1</v>
      </c>
      <c r="K284" s="41"/>
      <c r="L284" s="41"/>
      <c r="M284" s="37" t="s">
        <v>14</v>
      </c>
      <c r="N284" s="39" t="s">
        <v>18</v>
      </c>
      <c r="O284" s="39" t="s">
        <v>32</v>
      </c>
      <c r="P284" s="39" t="s">
        <v>21</v>
      </c>
      <c r="Q284" s="39" t="s">
        <v>30</v>
      </c>
      <c r="R284" s="39" t="s">
        <v>19</v>
      </c>
      <c r="S284" s="39" t="s">
        <v>25</v>
      </c>
      <c r="T284" s="41" t="s">
        <v>3</v>
      </c>
      <c r="U284" s="37" t="s">
        <v>4</v>
      </c>
      <c r="V284" s="37" t="s">
        <v>6</v>
      </c>
      <c r="W284" s="42" t="s">
        <v>15</v>
      </c>
      <c r="Y284" s="1">
        <v>1</v>
      </c>
    </row>
    <row r="285" spans="1:25" ht="30" customHeight="1" thickBot="1" x14ac:dyDescent="0.3">
      <c r="A285" s="38"/>
      <c r="B285" s="38"/>
      <c r="C285" s="40"/>
      <c r="D285" s="38"/>
      <c r="E285" s="38"/>
      <c r="F285" s="40"/>
      <c r="G285" s="40"/>
      <c r="H285" s="38"/>
      <c r="I285" s="40"/>
      <c r="J285" s="26" t="s">
        <v>26</v>
      </c>
      <c r="K285" s="26" t="s">
        <v>27</v>
      </c>
      <c r="L285" s="2" t="s">
        <v>2</v>
      </c>
      <c r="M285" s="38"/>
      <c r="N285" s="40"/>
      <c r="O285" s="40"/>
      <c r="P285" s="40"/>
      <c r="Q285" s="40"/>
      <c r="R285" s="40"/>
      <c r="S285" s="40"/>
      <c r="T285" s="46"/>
      <c r="U285" s="38"/>
      <c r="V285" s="38"/>
      <c r="W285" s="43"/>
      <c r="Y285" s="1">
        <v>1</v>
      </c>
    </row>
    <row r="286" spans="1:25" ht="15.75" outlineLevel="1" thickBot="1" x14ac:dyDescent="0.3">
      <c r="A286" s="12" t="s">
        <v>5</v>
      </c>
      <c r="B286" s="16"/>
      <c r="C286" s="30">
        <v>3</v>
      </c>
      <c r="D286" s="11">
        <v>8</v>
      </c>
      <c r="E286" s="11">
        <f>IF(D286="4.5 C", 4.5, IF(D286="4.8 C", 4.8, D286))</f>
        <v>8</v>
      </c>
      <c r="F286" s="11">
        <f t="shared" ref="F286:F301" si="143">IF(L286="Full", IF(Y286=1, E286*C286, E286), IF(L286="Gap", C286, E286))</f>
        <v>24</v>
      </c>
      <c r="G286" s="2">
        <f>VLOOKUP('930-4'!D286,Table1[],2,0)</f>
        <v>8.625</v>
      </c>
      <c r="H286" s="13">
        <f>G286*3.14*2.54</f>
        <v>68.789550000000006</v>
      </c>
      <c r="I286" s="2">
        <f>ROUNDUP(H286, 0)</f>
        <v>69</v>
      </c>
      <c r="J286" s="12">
        <v>40</v>
      </c>
      <c r="K286" s="12">
        <v>50</v>
      </c>
      <c r="L286" s="16" t="s">
        <v>13</v>
      </c>
      <c r="M286" s="14">
        <f t="shared" ref="M286:M301" si="144">IF(L286="Gap",C286, IF(E286&lt;=3, 3*C286, IF(L286="Full", C286*E286/Y286, IF(J286=K286,"Error", IF(K286&lt;J286, C286*(I286+K286-J286)*H286*E286/(3.14*2.54*I286*G286), C286*(K286-J286)*H286*E286/(3.14*2.54*I286*G286))))))</f>
        <v>24</v>
      </c>
      <c r="N286" s="15">
        <f t="shared" ref="N286:N301" si="145">IF(L286=0,IF(L285=0,IF(L284=0,IF(L283=0,IF(L282=0,IF(L281=0,IF(L280="Segment",M286,0),IF(L281="Segment",M286,0)),IF(L282="Segment",M286,0)),IF(L283="Segment",M286,0)),IF(L284="Segment",M286,0)),IF(L285="Segment",M286,0)),M286)</f>
        <v>24</v>
      </c>
      <c r="O286" s="15" t="str">
        <f t="shared" ref="O286:O301" si="146">IF(OR(T286="REJ",T286="NOT DONE-CONTRACTOR"), "YES", "NO")</f>
        <v>NO</v>
      </c>
      <c r="P286" s="25" t="str">
        <f>IF(L286&lt;&gt;0, IF(L286="Gap", O286, IF(L287&lt;&gt;0,  IF(O286="NO", "NO", "YES"), IF(L288&lt;&gt;0, IF(AND(O286="NO", O287="NO"), "NO", "YES"), IF(L289&lt;&gt;0, IF(AND(O286="NO", O287="NO", O288="NO"), "NO", "YES"), IF(AND(O286="NO", O287="NO", O288="NO", O289="NO"), "NO", "YES"))))))</f>
        <v>NO</v>
      </c>
      <c r="Q286" s="25">
        <f>IF(L286=0,0,IF(L287&lt;&gt;0,N286,IF(L288&lt;&gt;0,N286+N287,IF(L289&lt;&gt;0,N286+N287+N288,IF(L290&lt;&gt;0,N286+N287+N288+N289,IF(L291&lt;&gt;0,N286+N287+N288+N289+N290,N286+N287+N288+N289+N290+N291))))))</f>
        <v>24</v>
      </c>
      <c r="R286" s="25">
        <f t="shared" ref="R286:R301" si="147">IF(OR(T286="ACC", T286="REP", T286="RS", T286="RT"), N286, 0)</f>
        <v>24</v>
      </c>
      <c r="S286" s="25">
        <f t="shared" ref="S286:S298" si="148">IF(L286=0, 0, IF(L287&lt;&gt;0, R286, IF(L288&lt;&gt;0, R286+R287, IF(L289&lt;&gt;0, R286+R287+R288, IF(L290&lt;&gt;0, R286+R287+R288+R289, IF(L291&lt;&gt;0, R286+R287+R288+R289+R290, R286+R287+R288+R289+R290+R291))))))</f>
        <v>24</v>
      </c>
      <c r="T286" s="12" t="s">
        <v>7</v>
      </c>
      <c r="U286" s="12" t="s">
        <v>35</v>
      </c>
      <c r="V286" s="25">
        <f t="shared" ref="V286:V301" si="149">IF(OR(S286=0, P286=FALSE), 0, IF(AND(Q286&gt;3*C286, Q286&gt;F286), "Segment Error", IF(OR(P286="YES", L286="Gap"), S286, IF(E286&lt;3, S286, IF(S286&gt;F286/2, F286, F286/2)))))</f>
        <v>24</v>
      </c>
      <c r="W286" s="10">
        <f>V286*2400000</f>
        <v>57600000</v>
      </c>
      <c r="Y286" s="1">
        <f t="shared" ref="Y286:Y299" si="150">IF(L286="FULL",IF(L287=0,IF(L288=0,IF(L289=0,IF(L290=0,5,4),3),2),1),IF(L286=0,Y285,1))</f>
        <v>1</v>
      </c>
    </row>
    <row r="287" spans="1:25" ht="15.75" outlineLevel="1" thickBot="1" x14ac:dyDescent="0.3">
      <c r="A287" s="12" t="s">
        <v>5</v>
      </c>
      <c r="B287" s="16"/>
      <c r="C287" s="30">
        <v>1</v>
      </c>
      <c r="D287" s="11">
        <v>6</v>
      </c>
      <c r="E287" s="11">
        <f t="shared" ref="E287:E301" si="151">IF(D287="4.5 C", 4.5, IF(D287="4.8 C", 4.8, D287))</f>
        <v>6</v>
      </c>
      <c r="F287" s="11">
        <f t="shared" si="143"/>
        <v>6</v>
      </c>
      <c r="G287" s="2">
        <f>VLOOKUP('930-4'!D287,Table1[],2,0)</f>
        <v>6.625</v>
      </c>
      <c r="H287" s="13">
        <f t="shared" ref="H287:H301" si="152">G287*3.14*2.54</f>
        <v>52.838350000000005</v>
      </c>
      <c r="I287" s="2">
        <f t="shared" ref="I287:I301" si="153">ROUNDUP(H287, 0)</f>
        <v>53</v>
      </c>
      <c r="J287" s="12">
        <v>4</v>
      </c>
      <c r="K287" s="12">
        <v>13</v>
      </c>
      <c r="L287" s="16" t="s">
        <v>13</v>
      </c>
      <c r="M287" s="14">
        <f t="shared" si="144"/>
        <v>6</v>
      </c>
      <c r="N287" s="15">
        <f t="shared" si="145"/>
        <v>6</v>
      </c>
      <c r="O287" s="15" t="str">
        <f t="shared" si="146"/>
        <v>NO</v>
      </c>
      <c r="P287" s="25" t="str">
        <f>IF(L287&lt;&gt;0, IF(L287="Gap", O287, IF(L288&lt;&gt;0,  IF(O287="NO", "NO", "YES"), IF(L289&lt;&gt;0, IF(AND(O287="NO", O288="NO"), "NO", "YES"), IF(L290&lt;&gt;0, IF(AND(O287="NO", O288="NO", O289="NO"), "NO", "YES"), IF(AND(O287="NO", O288="NO", O289="NO", O290="NO"), "NO", "YES"))))))</f>
        <v>NO</v>
      </c>
      <c r="Q287" s="25">
        <f t="shared" ref="Q287:Q298" si="154">IF(L287=0,0,IF(L288&lt;&gt;0,N287,IF(L289&lt;&gt;0,N287+N288,IF(L290&lt;&gt;0,N287+N288+N289,IF(L291&lt;&gt;0,N287+N288+N289+N290,IF(L292&lt;&gt;0,N287+N288+N289+N290+N291,N287+N288+N289+N290+N291+N292))))))</f>
        <v>6</v>
      </c>
      <c r="R287" s="25">
        <f t="shared" si="147"/>
        <v>6</v>
      </c>
      <c r="S287" s="25">
        <f t="shared" si="148"/>
        <v>6</v>
      </c>
      <c r="T287" s="12" t="s">
        <v>7</v>
      </c>
      <c r="U287" s="12" t="s">
        <v>35</v>
      </c>
      <c r="V287" s="25">
        <f t="shared" si="149"/>
        <v>6</v>
      </c>
      <c r="W287" s="10">
        <f t="shared" ref="W287:W301" si="155">V287*2400000</f>
        <v>14400000</v>
      </c>
      <c r="Y287" s="1">
        <f t="shared" si="150"/>
        <v>1</v>
      </c>
    </row>
    <row r="288" spans="1:25" ht="15.75" outlineLevel="1" thickBot="1" x14ac:dyDescent="0.3">
      <c r="A288" s="12" t="s">
        <v>5</v>
      </c>
      <c r="B288" s="16"/>
      <c r="C288" s="30">
        <v>1</v>
      </c>
      <c r="D288" s="11">
        <v>6</v>
      </c>
      <c r="E288" s="11">
        <f t="shared" si="151"/>
        <v>6</v>
      </c>
      <c r="F288" s="11">
        <f t="shared" si="143"/>
        <v>6</v>
      </c>
      <c r="G288" s="2">
        <f>VLOOKUP('930-4'!D288,Table1[],2,0)</f>
        <v>6.625</v>
      </c>
      <c r="H288" s="13">
        <f t="shared" si="152"/>
        <v>52.838350000000005</v>
      </c>
      <c r="I288" s="2">
        <f t="shared" si="153"/>
        <v>53</v>
      </c>
      <c r="J288" s="12">
        <v>4</v>
      </c>
      <c r="K288" s="12">
        <v>13</v>
      </c>
      <c r="L288" s="16" t="s">
        <v>13</v>
      </c>
      <c r="M288" s="14">
        <f t="shared" si="144"/>
        <v>6</v>
      </c>
      <c r="N288" s="15">
        <f t="shared" si="145"/>
        <v>6</v>
      </c>
      <c r="O288" s="15" t="str">
        <f t="shared" si="146"/>
        <v>YES</v>
      </c>
      <c r="P288" s="25" t="str">
        <f>IF(L288&lt;&gt;0, IF(L288="Gap", O288, IF(L289&lt;&gt;0,  IF(O288="NO", "NO", "YES"), IF(L290&lt;&gt;0, IF(AND(O288="NO", O289="NO"), "NO", "YES"), IF(L296&lt;&gt;0, IF(AND(O288="NO", O289="NO", O290="NO"), "NO", "YES"), IF(AND(O288="NO", O289="NO", O290="NO", O296="NO"), "NO", "YES"))))))</f>
        <v>YES</v>
      </c>
      <c r="Q288" s="25">
        <f t="shared" si="154"/>
        <v>6</v>
      </c>
      <c r="R288" s="25">
        <f t="shared" si="147"/>
        <v>0</v>
      </c>
      <c r="S288" s="25">
        <f t="shared" si="148"/>
        <v>0</v>
      </c>
      <c r="T288" s="12" t="s">
        <v>31</v>
      </c>
      <c r="U288" s="12" t="s">
        <v>35</v>
      </c>
      <c r="V288" s="25">
        <f t="shared" si="149"/>
        <v>0</v>
      </c>
      <c r="W288" s="10">
        <f t="shared" si="155"/>
        <v>0</v>
      </c>
      <c r="X288" s="33"/>
      <c r="Y288" s="1">
        <f t="shared" si="150"/>
        <v>1</v>
      </c>
    </row>
    <row r="289" spans="1:25" ht="15.75" outlineLevel="1" thickBot="1" x14ac:dyDescent="0.3">
      <c r="A289" s="12" t="s">
        <v>5</v>
      </c>
      <c r="B289" s="16"/>
      <c r="C289" s="30">
        <v>1</v>
      </c>
      <c r="D289" s="11">
        <v>2</v>
      </c>
      <c r="E289" s="11">
        <f t="shared" si="151"/>
        <v>2</v>
      </c>
      <c r="F289" s="11">
        <f t="shared" si="143"/>
        <v>2</v>
      </c>
      <c r="G289" s="2">
        <f>VLOOKUP('930-4'!D289,Table1[],2,0)</f>
        <v>2.375</v>
      </c>
      <c r="H289" s="13">
        <f t="shared" si="152"/>
        <v>18.942050000000002</v>
      </c>
      <c r="I289" s="2">
        <f t="shared" si="153"/>
        <v>19</v>
      </c>
      <c r="J289" s="12">
        <v>20</v>
      </c>
      <c r="K289" s="12">
        <v>40</v>
      </c>
      <c r="L289" s="16" t="s">
        <v>13</v>
      </c>
      <c r="M289" s="14">
        <f t="shared" si="144"/>
        <v>3</v>
      </c>
      <c r="N289" s="15">
        <f t="shared" si="145"/>
        <v>3</v>
      </c>
      <c r="O289" s="15" t="str">
        <f t="shared" si="146"/>
        <v>NO</v>
      </c>
      <c r="P289" s="25" t="str">
        <f>IF(L289&lt;&gt;0, IF(L289="Gap", O289, IF(L290&lt;&gt;0,  IF(O289="NO", "NO", "YES"), IF(L296&lt;&gt;0, IF(AND(O289="NO", O290="NO"), "NO", "YES"), IF(L297&lt;&gt;0, IF(AND(O289="NO", O290="NO", O296="NO"), "NO", "YES"), IF(AND(O289="NO", O290="NO", O296="NO", O297="NO"), "NO", "YES"))))))</f>
        <v>NO</v>
      </c>
      <c r="Q289" s="25">
        <f t="shared" si="154"/>
        <v>3</v>
      </c>
      <c r="R289" s="25">
        <f t="shared" si="147"/>
        <v>3</v>
      </c>
      <c r="S289" s="25">
        <f t="shared" si="148"/>
        <v>3</v>
      </c>
      <c r="T289" s="12" t="s">
        <v>7</v>
      </c>
      <c r="U289" s="12" t="s">
        <v>35</v>
      </c>
      <c r="V289" s="25">
        <f t="shared" si="149"/>
        <v>3</v>
      </c>
      <c r="W289" s="10">
        <f t="shared" si="155"/>
        <v>7200000</v>
      </c>
      <c r="Y289" s="1">
        <f t="shared" si="150"/>
        <v>1</v>
      </c>
    </row>
    <row r="290" spans="1:25" ht="15.75" outlineLevel="1" thickBot="1" x14ac:dyDescent="0.3">
      <c r="A290" s="12" t="s">
        <v>5</v>
      </c>
      <c r="B290" s="16"/>
      <c r="C290" s="30">
        <v>0</v>
      </c>
      <c r="D290" s="11">
        <v>28</v>
      </c>
      <c r="E290" s="11">
        <f t="shared" si="151"/>
        <v>28</v>
      </c>
      <c r="F290" s="11">
        <f t="shared" si="143"/>
        <v>0</v>
      </c>
      <c r="G290" s="2">
        <f>VLOOKUP('930-4'!D290,Table1[],2,0)</f>
        <v>28</v>
      </c>
      <c r="H290" s="13">
        <f t="shared" si="152"/>
        <v>223.3168</v>
      </c>
      <c r="I290" s="2">
        <f t="shared" si="153"/>
        <v>224</v>
      </c>
      <c r="J290" s="12">
        <v>65</v>
      </c>
      <c r="K290" s="12">
        <v>85</v>
      </c>
      <c r="L290" s="16" t="s">
        <v>13</v>
      </c>
      <c r="M290" s="14">
        <f t="shared" si="144"/>
        <v>0</v>
      </c>
      <c r="N290" s="15">
        <f t="shared" si="145"/>
        <v>0</v>
      </c>
      <c r="O290" s="15" t="str">
        <f t="shared" si="146"/>
        <v>NO</v>
      </c>
      <c r="P290" s="25" t="str">
        <f>IF(L290&lt;&gt;0, IF(L290="Gap", O290, IF(L296&lt;&gt;0,  IF(O290="NO", "NO", "YES"), IF(L297&lt;&gt;0, IF(AND(O290="NO", O296="NO"), "NO", "YES"), IF(L298&lt;&gt;0, IF(AND(O290="NO", O296="NO", O297="NO"), "NO", "YES"), IF(AND(O290="NO", O296="NO", O297="NO", O298="NO"), "NO", "YES"))))))</f>
        <v>NO</v>
      </c>
      <c r="Q290" s="25">
        <f t="shared" si="154"/>
        <v>0</v>
      </c>
      <c r="R290" s="25">
        <f t="shared" si="147"/>
        <v>0</v>
      </c>
      <c r="S290" s="25">
        <f t="shared" si="148"/>
        <v>0</v>
      </c>
      <c r="T290" s="12" t="s">
        <v>7</v>
      </c>
      <c r="U290" s="12" t="s">
        <v>35</v>
      </c>
      <c r="V290" s="25">
        <f t="shared" si="149"/>
        <v>0</v>
      </c>
      <c r="W290" s="10">
        <f t="shared" si="155"/>
        <v>0</v>
      </c>
      <c r="Y290" s="1">
        <f t="shared" si="150"/>
        <v>1</v>
      </c>
    </row>
    <row r="291" spans="1:25" ht="15.75" outlineLevel="1" thickBot="1" x14ac:dyDescent="0.3">
      <c r="A291" s="12" t="s">
        <v>5</v>
      </c>
      <c r="B291" s="32"/>
      <c r="C291" s="30">
        <v>0</v>
      </c>
      <c r="D291" s="11">
        <v>10</v>
      </c>
      <c r="E291" s="11">
        <f t="shared" si="151"/>
        <v>10</v>
      </c>
      <c r="F291" s="11">
        <f t="shared" si="143"/>
        <v>0</v>
      </c>
      <c r="G291" s="2">
        <f>VLOOKUP('930-4'!D291,Table1[],2,0)</f>
        <v>10.75</v>
      </c>
      <c r="H291" s="13">
        <f t="shared" si="152"/>
        <v>85.737700000000004</v>
      </c>
      <c r="I291" s="2">
        <f t="shared" si="153"/>
        <v>86</v>
      </c>
      <c r="J291" s="12">
        <v>40</v>
      </c>
      <c r="K291" s="12">
        <v>125</v>
      </c>
      <c r="L291" s="16" t="s">
        <v>13</v>
      </c>
      <c r="M291" s="14">
        <f t="shared" si="144"/>
        <v>0</v>
      </c>
      <c r="N291" s="15">
        <f t="shared" si="145"/>
        <v>0</v>
      </c>
      <c r="O291" s="15" t="str">
        <f t="shared" si="146"/>
        <v>NO</v>
      </c>
      <c r="P291" s="25" t="str">
        <f>IF(L291&lt;&gt;0, IF(L291="Gap", O291, IF(L292&lt;&gt;0,  IF(O291="NO", "NO", "YES"), IF(L293&lt;&gt;0, IF(AND(O291="NO", O292="NO"), "NO", "YES"), IF(L294&lt;&gt;0, IF(AND(O291="NO", O292="NO", O293="NO"), "NO", "YES"), IF(AND(O291="NO", O292="NO", O293="NO", O294="NO"), "NO", "YES"))))))</f>
        <v>NO</v>
      </c>
      <c r="Q291" s="25">
        <f t="shared" si="154"/>
        <v>0</v>
      </c>
      <c r="R291" s="25">
        <f t="shared" si="147"/>
        <v>0</v>
      </c>
      <c r="S291" s="25">
        <f t="shared" si="148"/>
        <v>0</v>
      </c>
      <c r="T291" s="12" t="s">
        <v>7</v>
      </c>
      <c r="U291" s="12" t="s">
        <v>35</v>
      </c>
      <c r="V291" s="25">
        <f t="shared" si="149"/>
        <v>0</v>
      </c>
      <c r="W291" s="10">
        <f t="shared" si="155"/>
        <v>0</v>
      </c>
      <c r="Y291" s="1">
        <f t="shared" si="150"/>
        <v>1</v>
      </c>
    </row>
    <row r="292" spans="1:25" ht="15.75" outlineLevel="1" thickBot="1" x14ac:dyDescent="0.3">
      <c r="A292" s="12" t="s">
        <v>5</v>
      </c>
      <c r="B292" s="16"/>
      <c r="C292" s="30">
        <v>0</v>
      </c>
      <c r="D292" s="11">
        <v>6</v>
      </c>
      <c r="E292" s="11">
        <f t="shared" si="151"/>
        <v>6</v>
      </c>
      <c r="F292" s="11">
        <f t="shared" si="143"/>
        <v>6</v>
      </c>
      <c r="G292" s="2">
        <f>VLOOKUP('930-4'!D292,Table1[],2,0)</f>
        <v>6.625</v>
      </c>
      <c r="H292" s="13">
        <f t="shared" si="152"/>
        <v>52.838350000000005</v>
      </c>
      <c r="I292" s="2">
        <f t="shared" si="153"/>
        <v>53</v>
      </c>
      <c r="J292" s="12">
        <v>40</v>
      </c>
      <c r="K292" s="12">
        <v>125</v>
      </c>
      <c r="L292" s="16" t="s">
        <v>34</v>
      </c>
      <c r="M292" s="14">
        <f t="shared" si="144"/>
        <v>0</v>
      </c>
      <c r="N292" s="15">
        <f t="shared" si="145"/>
        <v>0</v>
      </c>
      <c r="O292" s="15" t="str">
        <f t="shared" si="146"/>
        <v>NO</v>
      </c>
      <c r="P292" s="25" t="str">
        <f>IF(L292&lt;&gt;0, IF(L292="Gap", O292, IF(L293&lt;&gt;0,  IF(O292="NO", "NO", "YES"), IF(L294&lt;&gt;0, IF(AND(O292="NO", O293="NO"), "NO", "YES"), IF(L296&lt;&gt;0, IF(AND(O292="NO", O293="NO", O294="NO"), "NO", "YES"), IF(AND(O292="NO", O293="NO", O294="NO", O296="NO"), "NO", "YES"))))))</f>
        <v>NO</v>
      </c>
      <c r="Q292" s="25">
        <f t="shared" si="154"/>
        <v>0</v>
      </c>
      <c r="R292" s="25">
        <f t="shared" si="147"/>
        <v>0</v>
      </c>
      <c r="S292" s="25">
        <f t="shared" si="148"/>
        <v>0</v>
      </c>
      <c r="T292" s="12" t="s">
        <v>7</v>
      </c>
      <c r="U292" s="12" t="s">
        <v>35</v>
      </c>
      <c r="V292" s="25">
        <f t="shared" si="149"/>
        <v>0</v>
      </c>
      <c r="W292" s="10">
        <f t="shared" si="155"/>
        <v>0</v>
      </c>
      <c r="Y292" s="1">
        <f t="shared" si="150"/>
        <v>1</v>
      </c>
    </row>
    <row r="293" spans="1:25" ht="15.75" outlineLevel="1" thickBot="1" x14ac:dyDescent="0.3">
      <c r="A293" s="12" t="s">
        <v>5</v>
      </c>
      <c r="B293" s="16"/>
      <c r="C293" s="30">
        <v>0</v>
      </c>
      <c r="D293" s="11">
        <v>18</v>
      </c>
      <c r="E293" s="11">
        <f t="shared" si="151"/>
        <v>18</v>
      </c>
      <c r="F293" s="11">
        <f t="shared" si="143"/>
        <v>18</v>
      </c>
      <c r="G293" s="2">
        <f>VLOOKUP('930-4'!D293,Table1[],2,0)</f>
        <v>18</v>
      </c>
      <c r="H293" s="13">
        <f t="shared" si="152"/>
        <v>143.5608</v>
      </c>
      <c r="I293" s="2">
        <f t="shared" si="153"/>
        <v>144</v>
      </c>
      <c r="J293" s="12">
        <v>40</v>
      </c>
      <c r="K293" s="12">
        <v>45</v>
      </c>
      <c r="L293" s="34" t="s">
        <v>34</v>
      </c>
      <c r="M293" s="14">
        <f t="shared" si="144"/>
        <v>0</v>
      </c>
      <c r="N293" s="15">
        <f t="shared" si="145"/>
        <v>0</v>
      </c>
      <c r="O293" s="15" t="str">
        <f t="shared" si="146"/>
        <v>NO</v>
      </c>
      <c r="P293" s="25" t="str">
        <f>IF(L293&lt;&gt;0, IF(L293="Gap", O293, IF(L294&lt;&gt;0,  IF(O293="NO", "NO", "YES"), IF(L296&lt;&gt;0, IF(AND(O293="NO", O294="NO"), "NO", "YES"), IF(L297&lt;&gt;0, IF(AND(O293="NO", O294="NO", O296="NO"), "NO", "YES"), IF(AND(O293="NO", O294="NO", O296="NO", O297="NO"), "NO", "YES"))))))</f>
        <v>NO</v>
      </c>
      <c r="Q293" s="25">
        <f t="shared" si="154"/>
        <v>0</v>
      </c>
      <c r="R293" s="25">
        <f t="shared" si="147"/>
        <v>0</v>
      </c>
      <c r="S293" s="25">
        <f t="shared" si="148"/>
        <v>0</v>
      </c>
      <c r="T293" s="12" t="s">
        <v>7</v>
      </c>
      <c r="U293" s="12" t="s">
        <v>35</v>
      </c>
      <c r="V293" s="25">
        <f t="shared" si="149"/>
        <v>0</v>
      </c>
      <c r="W293" s="10">
        <f t="shared" si="155"/>
        <v>0</v>
      </c>
      <c r="Y293" s="1">
        <f t="shared" si="150"/>
        <v>1</v>
      </c>
    </row>
    <row r="294" spans="1:25" ht="15.75" outlineLevel="1" thickBot="1" x14ac:dyDescent="0.3">
      <c r="A294" s="16" t="s">
        <v>5</v>
      </c>
      <c r="B294" s="16"/>
      <c r="C294" s="30">
        <v>0</v>
      </c>
      <c r="D294" s="17">
        <v>18</v>
      </c>
      <c r="E294" s="11">
        <f t="shared" si="151"/>
        <v>18</v>
      </c>
      <c r="F294" s="11">
        <f t="shared" si="143"/>
        <v>18</v>
      </c>
      <c r="G294" s="2">
        <f>VLOOKUP('930-4'!D294,Table1[],2,0)</f>
        <v>18</v>
      </c>
      <c r="H294" s="19">
        <f t="shared" si="152"/>
        <v>143.5608</v>
      </c>
      <c r="I294" s="18">
        <f t="shared" si="153"/>
        <v>144</v>
      </c>
      <c r="J294" s="12">
        <v>40</v>
      </c>
      <c r="K294" s="12">
        <v>10</v>
      </c>
      <c r="L294" s="35"/>
      <c r="M294" s="14">
        <f t="shared" si="144"/>
        <v>0</v>
      </c>
      <c r="N294" s="15">
        <f t="shared" si="145"/>
        <v>0</v>
      </c>
      <c r="O294" s="15" t="str">
        <f t="shared" si="146"/>
        <v>NO</v>
      </c>
      <c r="P294" s="25" t="b">
        <f>IF(L294&lt;&gt;0, IF(L294="Gap", O294, IF(L296&lt;&gt;0,  IF(O294="NO", "NO", "YES"), IF(L297&lt;&gt;0, IF(AND(O294="NO", O296="NO"), "NO", "YES"), IF(L298&lt;&gt;0, IF(AND(O294="NO", O296="NO", O297="NO"), "NO", "YES"), IF(AND(O294="NO", O296="NO", O297="NO", O298="NO"), "NO", "YES"))))))</f>
        <v>0</v>
      </c>
      <c r="Q294" s="25">
        <f t="shared" si="154"/>
        <v>0</v>
      </c>
      <c r="R294" s="25">
        <f t="shared" si="147"/>
        <v>0</v>
      </c>
      <c r="S294" s="25">
        <f t="shared" si="148"/>
        <v>0</v>
      </c>
      <c r="T294" s="12" t="s">
        <v>7</v>
      </c>
      <c r="U294" s="12" t="s">
        <v>35</v>
      </c>
      <c r="V294" s="25">
        <f t="shared" si="149"/>
        <v>0</v>
      </c>
      <c r="W294" s="10">
        <f t="shared" si="155"/>
        <v>0</v>
      </c>
      <c r="Y294" s="1">
        <f t="shared" si="150"/>
        <v>1</v>
      </c>
    </row>
    <row r="295" spans="1:25" ht="15.75" outlineLevel="1" thickBot="1" x14ac:dyDescent="0.3">
      <c r="A295" s="12" t="s">
        <v>5</v>
      </c>
      <c r="B295" s="16"/>
      <c r="C295" s="30">
        <v>0</v>
      </c>
      <c r="D295" s="11">
        <v>10</v>
      </c>
      <c r="E295" s="11">
        <f t="shared" si="151"/>
        <v>10</v>
      </c>
      <c r="F295" s="11">
        <f t="shared" si="143"/>
        <v>0</v>
      </c>
      <c r="G295" s="2">
        <f>VLOOKUP('930-4'!D295,Table1[],2,0)</f>
        <v>10.75</v>
      </c>
      <c r="H295" s="13">
        <f t="shared" si="152"/>
        <v>85.737700000000004</v>
      </c>
      <c r="I295" s="2">
        <f t="shared" si="153"/>
        <v>86</v>
      </c>
      <c r="J295" s="12">
        <v>40</v>
      </c>
      <c r="K295" s="12">
        <v>35</v>
      </c>
      <c r="L295" s="16" t="s">
        <v>13</v>
      </c>
      <c r="M295" s="14">
        <f t="shared" si="144"/>
        <v>0</v>
      </c>
      <c r="N295" s="15">
        <f t="shared" si="145"/>
        <v>0</v>
      </c>
      <c r="O295" s="15" t="str">
        <f t="shared" si="146"/>
        <v>NO</v>
      </c>
      <c r="P295" s="25" t="str">
        <f>IF(L295&lt;&gt;0, IF(L295="Gap", O295, IF(L301&lt;&gt;0,  IF(O295="NO", "NO", "YES"), IF(L302&lt;&gt;0, IF(AND(O295="NO", O301="NO"), "NO", "YES"), IF(L303&lt;&gt;0, IF(AND(O295="NO", O301="NO", O302="NO"), "NO", "YES"), IF(AND(O295="NO", O301="NO", O302="NO", O303="NO"), "NO", "YES"))))))</f>
        <v>NO</v>
      </c>
      <c r="Q295" s="25">
        <f t="shared" si="154"/>
        <v>0</v>
      </c>
      <c r="R295" s="25">
        <f t="shared" si="147"/>
        <v>0</v>
      </c>
      <c r="S295" s="25">
        <f t="shared" si="148"/>
        <v>0</v>
      </c>
      <c r="T295" s="12" t="s">
        <v>7</v>
      </c>
      <c r="U295" s="12" t="s">
        <v>35</v>
      </c>
      <c r="V295" s="25">
        <f t="shared" si="149"/>
        <v>0</v>
      </c>
      <c r="W295" s="10">
        <f t="shared" si="155"/>
        <v>0</v>
      </c>
      <c r="Y295" s="1">
        <f t="shared" si="150"/>
        <v>1</v>
      </c>
    </row>
    <row r="296" spans="1:25" ht="15.75" outlineLevel="1" thickBot="1" x14ac:dyDescent="0.3">
      <c r="A296" s="12" t="s">
        <v>5</v>
      </c>
      <c r="B296" s="32"/>
      <c r="C296" s="30">
        <v>0</v>
      </c>
      <c r="D296" s="11">
        <v>10</v>
      </c>
      <c r="E296" s="11">
        <f t="shared" si="151"/>
        <v>10</v>
      </c>
      <c r="F296" s="11">
        <f t="shared" si="143"/>
        <v>10</v>
      </c>
      <c r="G296" s="2">
        <f>VLOOKUP('930-4'!D296,Table1[],2,0)</f>
        <v>10.75</v>
      </c>
      <c r="H296" s="13">
        <f t="shared" si="152"/>
        <v>85.737700000000004</v>
      </c>
      <c r="I296" s="2">
        <f t="shared" si="153"/>
        <v>86</v>
      </c>
      <c r="J296" s="12">
        <v>40</v>
      </c>
      <c r="K296" s="12">
        <v>50</v>
      </c>
      <c r="L296" s="34" t="s">
        <v>34</v>
      </c>
      <c r="M296" s="14">
        <f t="shared" si="144"/>
        <v>0</v>
      </c>
      <c r="N296" s="15">
        <f t="shared" si="145"/>
        <v>0</v>
      </c>
      <c r="O296" s="15" t="str">
        <f t="shared" si="146"/>
        <v>NO</v>
      </c>
      <c r="P296" s="25" t="str">
        <f>IF(L296&lt;&gt;0, IF(L296="Gap", O296, IF(L297&lt;&gt;0,  IF(O296="NO", "NO", "YES"), IF(L298&lt;&gt;0, IF(AND(O296="NO", O297="NO"), "NO", "YES"), IF(L299&lt;&gt;0, IF(AND(O296="NO", O297="NO", O298="NO"), "NO", "YES"), IF(AND(O296="NO", O297="NO", O298="NO", O299="NO"), "NO", "YES"))))))</f>
        <v>NO</v>
      </c>
      <c r="Q296" s="25">
        <f t="shared" si="154"/>
        <v>0</v>
      </c>
      <c r="R296" s="25">
        <f t="shared" si="147"/>
        <v>0</v>
      </c>
      <c r="S296" s="25">
        <f t="shared" si="148"/>
        <v>0</v>
      </c>
      <c r="T296" s="12" t="s">
        <v>7</v>
      </c>
      <c r="U296" s="12" t="s">
        <v>35</v>
      </c>
      <c r="V296" s="25">
        <f t="shared" si="149"/>
        <v>0</v>
      </c>
      <c r="W296" s="10">
        <f t="shared" si="155"/>
        <v>0</v>
      </c>
      <c r="Y296" s="1">
        <f t="shared" si="150"/>
        <v>1</v>
      </c>
    </row>
    <row r="297" spans="1:25" ht="15.75" outlineLevel="1" thickBot="1" x14ac:dyDescent="0.3">
      <c r="A297" s="12" t="s">
        <v>5</v>
      </c>
      <c r="B297" s="16"/>
      <c r="C297" s="30">
        <v>0</v>
      </c>
      <c r="D297" s="11">
        <v>10</v>
      </c>
      <c r="E297" s="11">
        <f t="shared" si="151"/>
        <v>10</v>
      </c>
      <c r="F297" s="11">
        <f t="shared" si="143"/>
        <v>10</v>
      </c>
      <c r="G297" s="2">
        <f>VLOOKUP('930-4'!D297,Table1[],2,0)</f>
        <v>10.75</v>
      </c>
      <c r="H297" s="13">
        <f t="shared" si="152"/>
        <v>85.737700000000004</v>
      </c>
      <c r="I297" s="2">
        <f t="shared" si="153"/>
        <v>86</v>
      </c>
      <c r="J297" s="12">
        <v>40</v>
      </c>
      <c r="K297" s="12">
        <v>80</v>
      </c>
      <c r="L297" s="35"/>
      <c r="M297" s="14">
        <f t="shared" si="144"/>
        <v>0</v>
      </c>
      <c r="N297" s="15">
        <f t="shared" si="145"/>
        <v>0</v>
      </c>
      <c r="O297" s="15" t="str">
        <f t="shared" si="146"/>
        <v>NO</v>
      </c>
      <c r="P297" s="25" t="b">
        <f>IF(L297&lt;&gt;0, IF(L297="Gap", O297, IF(L298&lt;&gt;0,  IF(O297="NO", "NO", "YES"), IF(L299&lt;&gt;0, IF(AND(O297="NO", O298="NO"), "NO", "YES"), IF(L301&lt;&gt;0, IF(AND(O297="NO", O298="NO", O299="NO"), "NO", "YES"), IF(AND(O297="NO", O298="NO", O299="NO", O301="NO"), "NO", "YES"))))))</f>
        <v>0</v>
      </c>
      <c r="Q297" s="25">
        <f t="shared" si="154"/>
        <v>0</v>
      </c>
      <c r="R297" s="25">
        <f t="shared" si="147"/>
        <v>0</v>
      </c>
      <c r="S297" s="25">
        <f t="shared" si="148"/>
        <v>0</v>
      </c>
      <c r="T297" s="12" t="s">
        <v>7</v>
      </c>
      <c r="U297" s="12" t="s">
        <v>35</v>
      </c>
      <c r="V297" s="25">
        <f t="shared" si="149"/>
        <v>0</v>
      </c>
      <c r="W297" s="10">
        <f t="shared" si="155"/>
        <v>0</v>
      </c>
      <c r="Y297" s="1">
        <f t="shared" si="150"/>
        <v>1</v>
      </c>
    </row>
    <row r="298" spans="1:25" ht="15.75" outlineLevel="1" thickBot="1" x14ac:dyDescent="0.3">
      <c r="A298" s="12" t="s">
        <v>5</v>
      </c>
      <c r="B298" s="16"/>
      <c r="C298" s="30">
        <v>0</v>
      </c>
      <c r="D298" s="11">
        <v>10</v>
      </c>
      <c r="E298" s="11">
        <f t="shared" si="151"/>
        <v>10</v>
      </c>
      <c r="F298" s="11">
        <f t="shared" si="143"/>
        <v>10</v>
      </c>
      <c r="G298" s="2">
        <f>VLOOKUP('930-4'!D298,Table1[],2,0)</f>
        <v>10.75</v>
      </c>
      <c r="H298" s="13">
        <f t="shared" si="152"/>
        <v>85.737700000000004</v>
      </c>
      <c r="I298" s="2">
        <f t="shared" si="153"/>
        <v>86</v>
      </c>
      <c r="J298" s="12">
        <v>40</v>
      </c>
      <c r="K298" s="12">
        <v>55</v>
      </c>
      <c r="L298" s="34" t="s">
        <v>34</v>
      </c>
      <c r="M298" s="14">
        <f t="shared" si="144"/>
        <v>0</v>
      </c>
      <c r="N298" s="15">
        <f t="shared" si="145"/>
        <v>0</v>
      </c>
      <c r="O298" s="15" t="str">
        <f t="shared" si="146"/>
        <v>NO</v>
      </c>
      <c r="P298" s="25" t="str">
        <f>IF(L298&lt;&gt;0, IF(L298="Gap", O298, IF(L299&lt;&gt;0,  IF(O298="NO", "NO", "YES"), IF(L301&lt;&gt;0, IF(AND(O298="NO", O299="NO"), "NO", "YES"), IF(L302&lt;&gt;0, IF(AND(O298="NO", O299="NO", O301="NO"), "NO", "YES"), IF(AND(O298="NO", O299="NO", O301="NO", O302="NO"), "NO", "YES"))))))</f>
        <v>NO</v>
      </c>
      <c r="Q298" s="25">
        <f t="shared" si="154"/>
        <v>0</v>
      </c>
      <c r="R298" s="25">
        <f t="shared" si="147"/>
        <v>0</v>
      </c>
      <c r="S298" s="25">
        <f t="shared" si="148"/>
        <v>0</v>
      </c>
      <c r="T298" s="12" t="s">
        <v>7</v>
      </c>
      <c r="U298" s="12" t="s">
        <v>35</v>
      </c>
      <c r="V298" s="25">
        <f t="shared" si="149"/>
        <v>0</v>
      </c>
      <c r="W298" s="10">
        <f t="shared" si="155"/>
        <v>0</v>
      </c>
      <c r="Y298" s="1">
        <f t="shared" si="150"/>
        <v>1</v>
      </c>
    </row>
    <row r="299" spans="1:25" ht="15.75" outlineLevel="1" thickBot="1" x14ac:dyDescent="0.3">
      <c r="A299" s="16" t="s">
        <v>5</v>
      </c>
      <c r="B299" s="16"/>
      <c r="C299" s="30">
        <v>0</v>
      </c>
      <c r="D299" s="17">
        <v>10</v>
      </c>
      <c r="E299" s="11">
        <f t="shared" si="151"/>
        <v>10</v>
      </c>
      <c r="F299" s="11">
        <f t="shared" si="143"/>
        <v>10</v>
      </c>
      <c r="G299" s="2">
        <f>VLOOKUP('930-4'!D299,Table1[],2,0)</f>
        <v>10.75</v>
      </c>
      <c r="H299" s="19">
        <f t="shared" si="152"/>
        <v>85.737700000000004</v>
      </c>
      <c r="I299" s="18">
        <f t="shared" si="153"/>
        <v>86</v>
      </c>
      <c r="J299" s="12">
        <v>40</v>
      </c>
      <c r="K299" s="12">
        <v>75</v>
      </c>
      <c r="L299" s="35"/>
      <c r="M299" s="14">
        <f t="shared" si="144"/>
        <v>0</v>
      </c>
      <c r="N299" s="15">
        <f t="shared" si="145"/>
        <v>0</v>
      </c>
      <c r="O299" s="15" t="str">
        <f t="shared" si="146"/>
        <v>NO</v>
      </c>
      <c r="P299" s="25" t="b">
        <f>IF(L299&lt;&gt;0, IF(L299="Gap", O299, IF(L301&lt;&gt;0,  IF(O299="NO", "NO", "YES"), IF(L302&lt;&gt;0, IF(AND(O299="NO", O301="NO"), "NO", "YES"), IF(L303&lt;&gt;0, IF(AND(O299="NO", O301="NO", O302="NO"), "NO", "YES"), IF(AND(O299="NO", O301="NO", O302="NO", O303="NO"), "NO", "YES"))))))</f>
        <v>0</v>
      </c>
      <c r="Q299" s="25">
        <f>IF(L299=0,0,IF(L300&lt;&gt;0,N299,IF(L301&lt;&gt;0,N299+N300,IF(L302&lt;&gt;0,N299+N300+N301,IF(L303&lt;&gt;0,N299+N300+N301+N302,IF(#REF!&lt;&gt;0,N299+N300+N301+N302+N303,N299+N300+N301+N302+N303+#REF!))))))</f>
        <v>0</v>
      </c>
      <c r="R299" s="25">
        <f t="shared" si="147"/>
        <v>0</v>
      </c>
      <c r="S299" s="25">
        <f>IF(L299=0, 0, IF(L300&lt;&gt;0, R299, IF(L301&lt;&gt;0, R299+R300, IF(L302&lt;&gt;0, R299+R300+R301, IF(L303&lt;&gt;0, R299+R300+R301+R302, IF(#REF!&lt;&gt;0, R299+R300+R301+R302+R303, R299+R300+R301+R302+R303+#REF!))))))</f>
        <v>0</v>
      </c>
      <c r="T299" s="12" t="s">
        <v>7</v>
      </c>
      <c r="U299" s="12" t="s">
        <v>35</v>
      </c>
      <c r="V299" s="25">
        <f t="shared" si="149"/>
        <v>0</v>
      </c>
      <c r="W299" s="10">
        <f t="shared" si="155"/>
        <v>0</v>
      </c>
      <c r="Y299" s="1">
        <f t="shared" si="150"/>
        <v>1</v>
      </c>
    </row>
    <row r="300" spans="1:25" ht="15.75" outlineLevel="1" thickBot="1" x14ac:dyDescent="0.3">
      <c r="A300" s="16"/>
      <c r="B300" s="16"/>
      <c r="C300" s="30">
        <v>0</v>
      </c>
      <c r="D300" s="17">
        <v>10</v>
      </c>
      <c r="E300" s="11">
        <f t="shared" si="151"/>
        <v>10</v>
      </c>
      <c r="F300" s="11">
        <f t="shared" si="143"/>
        <v>0</v>
      </c>
      <c r="G300" s="2">
        <f>VLOOKUP('930-4'!D300,Table1[],2,0)</f>
        <v>10.75</v>
      </c>
      <c r="H300" s="19">
        <f t="shared" si="152"/>
        <v>85.737700000000004</v>
      </c>
      <c r="I300" s="18">
        <f t="shared" si="153"/>
        <v>86</v>
      </c>
      <c r="J300" s="12">
        <v>40</v>
      </c>
      <c r="K300" s="12">
        <v>45</v>
      </c>
      <c r="L300" s="16" t="s">
        <v>13</v>
      </c>
      <c r="M300" s="14">
        <f t="shared" si="144"/>
        <v>0</v>
      </c>
      <c r="N300" s="15">
        <f t="shared" si="145"/>
        <v>0</v>
      </c>
      <c r="O300" s="15" t="str">
        <f t="shared" si="146"/>
        <v>NO</v>
      </c>
      <c r="P300" s="25" t="str">
        <f>IF(L300&lt;&gt;0, IF(L300="Gap", O300, IF(L301&lt;&gt;0,  IF(O300="NO", "NO", "YES"), IF(L302&lt;&gt;0, IF(AND(O300="NO", O301="NO"), "NO", "YES"), IF(L303&lt;&gt;0, IF(AND(O300="NO", O301="NO", O302="NO"), "NO", "YES"), IF(AND(O300="NO", O301="NO", O302="NO", O303="NO"), "NO", "YES"))))))</f>
        <v>NO</v>
      </c>
      <c r="Q300" s="25">
        <f>IF(L300=0,0,IF(L301&lt;&gt;0,N300,IF(L302&lt;&gt;0,N300+N301,IF(L303&lt;&gt;0,N300+N301+N302,IF(#REF!&lt;&gt;0,N300+N301+N302+N303,IF(#REF!&lt;&gt;0,N300+N301+N302+N303+#REF!,N300+N301+N302+N303+#REF!+#REF!))))))</f>
        <v>0</v>
      </c>
      <c r="R300" s="25">
        <f t="shared" si="147"/>
        <v>0</v>
      </c>
      <c r="S300" s="25">
        <f>IF(L300=0, 0, IF(L301&lt;&gt;0, R300, IF(L302&lt;&gt;0, R300+R301, IF(L303&lt;&gt;0, R300+R301+R302, IF(#REF!&lt;&gt;0, R300+R301+R302+R303, IF(#REF!&lt;&gt;0, R300+R301+R302+R303+#REF!, R300+R301+R302+R303+#REF!+#REF!))))))</f>
        <v>0</v>
      </c>
      <c r="T300" s="12" t="s">
        <v>7</v>
      </c>
      <c r="U300" s="12" t="s">
        <v>35</v>
      </c>
      <c r="V300" s="25">
        <f t="shared" si="149"/>
        <v>0</v>
      </c>
      <c r="W300" s="10">
        <f t="shared" si="155"/>
        <v>0</v>
      </c>
      <c r="Y300" s="1">
        <f>IF(L300="FULL",IF(L301=0,IF(L302=0,IF(L303=0,IF(#REF!=0,5,4),3),2),1),IF(L300=0,Y299,1))</f>
        <v>1</v>
      </c>
    </row>
    <row r="301" spans="1:25" outlineLevel="1" x14ac:dyDescent="0.25">
      <c r="A301" s="16"/>
      <c r="B301" s="16"/>
      <c r="C301" s="30">
        <v>0</v>
      </c>
      <c r="D301" s="17">
        <v>2</v>
      </c>
      <c r="E301" s="11">
        <f t="shared" si="151"/>
        <v>2</v>
      </c>
      <c r="F301" s="11">
        <f t="shared" si="143"/>
        <v>0</v>
      </c>
      <c r="G301" s="2">
        <f>VLOOKUP('930-4'!D301,Table1[],2,0)</f>
        <v>2.375</v>
      </c>
      <c r="H301" s="19">
        <f t="shared" si="152"/>
        <v>18.942050000000002</v>
      </c>
      <c r="I301" s="18">
        <f t="shared" si="153"/>
        <v>19</v>
      </c>
      <c r="J301" s="12">
        <v>40</v>
      </c>
      <c r="K301" s="12">
        <v>45</v>
      </c>
      <c r="L301" s="16" t="s">
        <v>13</v>
      </c>
      <c r="M301" s="14">
        <f t="shared" si="144"/>
        <v>0</v>
      </c>
      <c r="N301" s="15">
        <f t="shared" si="145"/>
        <v>0</v>
      </c>
      <c r="O301" s="15" t="str">
        <f t="shared" si="146"/>
        <v>NO</v>
      </c>
      <c r="P301" s="25" t="str">
        <f>IF(L301&lt;&gt;0, IF(L301="Gap", O301, IF(L302&lt;&gt;0,  IF(O301="NO", "NO", "YES"), IF(L303&lt;&gt;0, IF(AND(O301="NO", O302="NO"), "NO", "YES"), IF(#REF!&lt;&gt;0, IF(AND(O301="NO", O302="NO", O303="NO"), "NO", "YES"), IF(AND(O301="NO", O302="NO", O303="NO",#REF!= "NO"), "NO", "YES"))))))</f>
        <v>NO</v>
      </c>
      <c r="Q301" s="25">
        <f>IF(L301=0,0,IF(L302&lt;&gt;0,N301,IF(L303&lt;&gt;0,N301+N302,IF(#REF!&lt;&gt;0,N301+N302+N303,IF(#REF!&lt;&gt;0,N301+N302+N303+#REF!,IF(#REF!&lt;&gt;0,N301+N302+N303+#REF!+#REF!,N301+N302+N303+#REF!+#REF!+#REF!))))))</f>
        <v>0</v>
      </c>
      <c r="R301" s="25">
        <f t="shared" si="147"/>
        <v>0</v>
      </c>
      <c r="S301" s="25">
        <f>IF(L301=0, 0, IF(L302&lt;&gt;0, R301, IF(L303&lt;&gt;0, R301+R302, IF(#REF!&lt;&gt;0, R301+R302+R303, IF(#REF!&lt;&gt;0, R301+R302+R303+#REF!, IF(#REF!&lt;&gt;0, R301+R302+R303+#REF!+#REF!, R301+R302+R303+#REF!+#REF!+#REF!))))))</f>
        <v>0</v>
      </c>
      <c r="T301" s="12" t="s">
        <v>7</v>
      </c>
      <c r="U301" s="12" t="s">
        <v>35</v>
      </c>
      <c r="V301" s="25">
        <f t="shared" si="149"/>
        <v>0</v>
      </c>
      <c r="W301" s="10">
        <f t="shared" si="155"/>
        <v>0</v>
      </c>
      <c r="Y301" s="1">
        <f>IF(L301="FULL",IF(L302=0,IF(L303=0,IF(#REF!=0,IF(#REF!=0,5,4),3),2),1),IF(L301=0,Y300,1))</f>
        <v>1</v>
      </c>
    </row>
    <row r="302" spans="1:25" ht="15" customHeight="1" outlineLevel="1" x14ac:dyDescent="0.25">
      <c r="A302" s="29" t="s">
        <v>20</v>
      </c>
      <c r="B302" s="29" t="s">
        <v>20</v>
      </c>
      <c r="C302" s="29" t="s">
        <v>20</v>
      </c>
      <c r="D302" s="29" t="s">
        <v>20</v>
      </c>
      <c r="E302" s="29" t="s">
        <v>20</v>
      </c>
      <c r="F302" s="29"/>
      <c r="G302" s="29" t="s">
        <v>20</v>
      </c>
      <c r="H302" s="29" t="s">
        <v>20</v>
      </c>
      <c r="I302" s="29" t="s">
        <v>20</v>
      </c>
      <c r="J302" s="29" t="s">
        <v>20</v>
      </c>
      <c r="K302" s="29" t="s">
        <v>20</v>
      </c>
      <c r="L302" s="29" t="s">
        <v>20</v>
      </c>
      <c r="M302" s="29" t="s">
        <v>20</v>
      </c>
      <c r="N302" s="29" t="s">
        <v>20</v>
      </c>
      <c r="O302" s="29" t="s">
        <v>20</v>
      </c>
      <c r="P302" s="29" t="s">
        <v>20</v>
      </c>
      <c r="Q302" s="29" t="s">
        <v>20</v>
      </c>
      <c r="R302" s="29" t="s">
        <v>20</v>
      </c>
      <c r="S302" s="29" t="s">
        <v>20</v>
      </c>
      <c r="T302" s="29" t="s">
        <v>20</v>
      </c>
      <c r="U302" s="29" t="s">
        <v>20</v>
      </c>
      <c r="V302" s="29" t="s">
        <v>20</v>
      </c>
      <c r="W302" s="29" t="s">
        <v>20</v>
      </c>
      <c r="Y302" s="1">
        <f>IF(L302="FULL",IF(L303=0,IF(#REF!=0,IF(#REF!=0,IF(#REF!=0,5,4),3),2),1),IF(L302=0,Y301,1))</f>
        <v>1</v>
      </c>
    </row>
    <row r="303" spans="1:25" ht="15.75" thickBot="1" x14ac:dyDescent="0.3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21"/>
      <c r="N303" s="21"/>
      <c r="O303" s="21"/>
      <c r="P303" s="21"/>
      <c r="Q303" s="31">
        <f>SUM(Q286:Q301)</f>
        <v>39</v>
      </c>
      <c r="R303" s="31"/>
      <c r="S303" s="31">
        <f>SUM(R286:R301)</f>
        <v>33</v>
      </c>
      <c r="T303" s="31"/>
      <c r="U303" s="20"/>
      <c r="V303" s="21">
        <f>IF(COUNTIF(V286:V301,  "Segment Error")=0, IF(AND(SUM(V286:V301)&lt;50, COUNTIF(P286:P301, "YES")=0), 50, SUM(V286:V301)), "Segment Error")</f>
        <v>33</v>
      </c>
      <c r="W303" s="22">
        <f>V303*2400000</f>
        <v>79200000</v>
      </c>
      <c r="Y303" s="1">
        <f>IF(L303="FULL",IF(#REF!=0,IF(#REF!=0,IF(#REF!=0,IF(#REF!=0,5,4),3),2),1),IF(L303=0,Y302,1))</f>
        <v>1</v>
      </c>
    </row>
    <row r="304" spans="1:25" ht="27" customHeight="1" x14ac:dyDescent="0.25">
      <c r="A304" s="44" t="s">
        <v>50</v>
      </c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Y304" s="27" t="s">
        <v>17</v>
      </c>
    </row>
    <row r="305" spans="1:25" ht="15" hidden="1" customHeight="1" x14ac:dyDescent="0.25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Y305" s="1">
        <v>1</v>
      </c>
    </row>
    <row r="306" spans="1:25" ht="15" hidden="1" customHeight="1" x14ac:dyDescent="0.25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Y306" s="1">
        <v>1</v>
      </c>
    </row>
    <row r="307" spans="1:25" ht="15" hidden="1" customHeight="1" x14ac:dyDescent="0.25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Y307" s="1">
        <v>1</v>
      </c>
    </row>
    <row r="308" spans="1:25" ht="15.75" thickBot="1" x14ac:dyDescent="0.3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Y308" s="1">
        <v>1</v>
      </c>
    </row>
    <row r="309" spans="1:25" ht="30" customHeight="1" x14ac:dyDescent="0.25">
      <c r="A309" s="37" t="s">
        <v>0</v>
      </c>
      <c r="B309" s="37" t="s">
        <v>8</v>
      </c>
      <c r="C309" s="39" t="s">
        <v>29</v>
      </c>
      <c r="D309" s="37" t="s">
        <v>28</v>
      </c>
      <c r="E309" s="37" t="s">
        <v>28</v>
      </c>
      <c r="F309" s="39" t="s">
        <v>33</v>
      </c>
      <c r="G309" s="39" t="s">
        <v>16</v>
      </c>
      <c r="H309" s="37" t="s">
        <v>9</v>
      </c>
      <c r="I309" s="39" t="s">
        <v>12</v>
      </c>
      <c r="J309" s="41" t="s">
        <v>1</v>
      </c>
      <c r="K309" s="41"/>
      <c r="L309" s="41"/>
      <c r="M309" s="37" t="s">
        <v>14</v>
      </c>
      <c r="N309" s="39" t="s">
        <v>18</v>
      </c>
      <c r="O309" s="39" t="s">
        <v>32</v>
      </c>
      <c r="P309" s="39" t="s">
        <v>21</v>
      </c>
      <c r="Q309" s="39" t="s">
        <v>30</v>
      </c>
      <c r="R309" s="39" t="s">
        <v>19</v>
      </c>
      <c r="S309" s="39" t="s">
        <v>25</v>
      </c>
      <c r="T309" s="41" t="s">
        <v>3</v>
      </c>
      <c r="U309" s="37" t="s">
        <v>4</v>
      </c>
      <c r="V309" s="37" t="s">
        <v>6</v>
      </c>
      <c r="W309" s="42" t="s">
        <v>15</v>
      </c>
      <c r="Y309" s="1">
        <v>1</v>
      </c>
    </row>
    <row r="310" spans="1:25" ht="30" customHeight="1" thickBot="1" x14ac:dyDescent="0.3">
      <c r="A310" s="38"/>
      <c r="B310" s="38"/>
      <c r="C310" s="40"/>
      <c r="D310" s="38"/>
      <c r="E310" s="38"/>
      <c r="F310" s="40"/>
      <c r="G310" s="40"/>
      <c r="H310" s="38"/>
      <c r="I310" s="40"/>
      <c r="J310" s="26" t="s">
        <v>26</v>
      </c>
      <c r="K310" s="26" t="s">
        <v>27</v>
      </c>
      <c r="L310" s="2" t="s">
        <v>2</v>
      </c>
      <c r="M310" s="38"/>
      <c r="N310" s="40"/>
      <c r="O310" s="40"/>
      <c r="P310" s="40"/>
      <c r="Q310" s="40"/>
      <c r="R310" s="40"/>
      <c r="S310" s="40"/>
      <c r="T310" s="46"/>
      <c r="U310" s="38"/>
      <c r="V310" s="38"/>
      <c r="W310" s="43"/>
      <c r="Y310" s="1">
        <v>1</v>
      </c>
    </row>
    <row r="311" spans="1:25" ht="15.75" outlineLevel="1" thickBot="1" x14ac:dyDescent="0.3">
      <c r="A311" s="12" t="s">
        <v>5</v>
      </c>
      <c r="B311" s="16"/>
      <c r="C311" s="30">
        <v>3</v>
      </c>
      <c r="D311" s="11">
        <v>18</v>
      </c>
      <c r="E311" s="11">
        <f>IF(D311="4.5 C", 4.5, IF(D311="4.8 C", 4.8, D311))</f>
        <v>18</v>
      </c>
      <c r="F311" s="11">
        <f t="shared" ref="F311:F326" si="156">IF(L311="Full", IF(Y311=1, E311*C311, E311), IF(L311="Gap", C311, E311))</f>
        <v>54</v>
      </c>
      <c r="G311" s="2">
        <f>VLOOKUP('930-4'!D311,Table1[],2,0)</f>
        <v>18</v>
      </c>
      <c r="H311" s="13">
        <f>G311*3.14*2.54</f>
        <v>143.5608</v>
      </c>
      <c r="I311" s="2">
        <f>ROUNDUP(H311, 0)</f>
        <v>144</v>
      </c>
      <c r="J311" s="12">
        <v>40</v>
      </c>
      <c r="K311" s="12">
        <v>50</v>
      </c>
      <c r="L311" s="16" t="s">
        <v>13</v>
      </c>
      <c r="M311" s="14">
        <f t="shared" ref="M311:M326" si="157">IF(L311="Gap",C311, IF(E311&lt;=3, 3*C311, IF(L311="Full", C311*E311/Y311, IF(J311=K311,"Error", IF(K311&lt;J311, C311*(I311+K311-J311)*H311*E311/(3.14*2.54*I311*G311), C311*(K311-J311)*H311*E311/(3.14*2.54*I311*G311))))))</f>
        <v>54</v>
      </c>
      <c r="N311" s="15">
        <f t="shared" ref="N311:N326" si="158">IF(L311=0,IF(L310=0,IF(L309=0,IF(L308=0,IF(L307=0,IF(L306=0,IF(L305="Segment",M311,0),IF(L306="Segment",M311,0)),IF(L307="Segment",M311,0)),IF(L308="Segment",M311,0)),IF(L309="Segment",M311,0)),IF(L310="Segment",M311,0)),M311)</f>
        <v>54</v>
      </c>
      <c r="O311" s="15" t="str">
        <f t="shared" ref="O311:O326" si="159">IF(OR(T311="REJ",T311="NOT DONE-CONTRACTOR"), "YES", "NO")</f>
        <v>NO</v>
      </c>
      <c r="P311" s="25" t="str">
        <f>IF(L311&lt;&gt;0, IF(L311="Gap", O311, IF(L312&lt;&gt;0,  IF(O311="NO", "NO", "YES"), IF(L313&lt;&gt;0, IF(AND(O311="NO", O312="NO"), "NO", "YES"), IF(L314&lt;&gt;0, IF(AND(O311="NO", O312="NO", O313="NO"), "NO", "YES"), IF(AND(O311="NO", O312="NO", O313="NO", O314="NO"), "NO", "YES"))))))</f>
        <v>NO</v>
      </c>
      <c r="Q311" s="25">
        <f>IF(L311=0,0,IF(L312&lt;&gt;0,N311,IF(L313&lt;&gt;0,N311+N312,IF(L314&lt;&gt;0,N311+N312+N313,IF(L315&lt;&gt;0,N311+N312+N313+N314,IF(L316&lt;&gt;0,N311+N312+N313+N314+N315,N311+N312+N313+N314+N315+N316))))))</f>
        <v>54</v>
      </c>
      <c r="R311" s="25">
        <f t="shared" ref="R311:R326" si="160">IF(OR(T311="ACC", T311="REP", T311="RS", T311="RT"), N311, 0)</f>
        <v>54</v>
      </c>
      <c r="S311" s="25">
        <f t="shared" ref="S311:S323" si="161">IF(L311=0, 0, IF(L312&lt;&gt;0, R311, IF(L313&lt;&gt;0, R311+R312, IF(L314&lt;&gt;0, R311+R312+R313, IF(L315&lt;&gt;0, R311+R312+R313+R314, IF(L316&lt;&gt;0, R311+R312+R313+R314+R315, R311+R312+R313+R314+R315+R316))))))</f>
        <v>54</v>
      </c>
      <c r="T311" s="12" t="s">
        <v>7</v>
      </c>
      <c r="U311" s="12" t="s">
        <v>35</v>
      </c>
      <c r="V311" s="25">
        <f t="shared" ref="V311:V326" si="162">IF(OR(S311=0, P311=FALSE), 0, IF(AND(Q311&gt;3*C311, Q311&gt;F311), "Segment Error", IF(OR(P311="YES", L311="Gap"), S311, IF(E311&lt;3, S311, IF(S311&gt;F311/2, F311, F311/2)))))</f>
        <v>54</v>
      </c>
      <c r="W311" s="10">
        <f>V311*2400000</f>
        <v>129600000</v>
      </c>
      <c r="Y311" s="1">
        <f t="shared" ref="Y311:Y324" si="163">IF(L311="FULL",IF(L312=0,IF(L313=0,IF(L314=0,IF(L315=0,5,4),3),2),1),IF(L311=0,Y310,1))</f>
        <v>1</v>
      </c>
    </row>
    <row r="312" spans="1:25" ht="15.75" outlineLevel="1" thickBot="1" x14ac:dyDescent="0.3">
      <c r="A312" s="12" t="s">
        <v>5</v>
      </c>
      <c r="B312" s="16"/>
      <c r="C312" s="30">
        <v>1</v>
      </c>
      <c r="D312" s="11">
        <v>8</v>
      </c>
      <c r="E312" s="11">
        <f t="shared" ref="E312:E326" si="164">IF(D312="4.5 C", 4.5, IF(D312="4.8 C", 4.8, D312))</f>
        <v>8</v>
      </c>
      <c r="F312" s="11">
        <f t="shared" si="156"/>
        <v>8</v>
      </c>
      <c r="G312" s="2">
        <f>VLOOKUP('930-4'!D312,Table1[],2,0)</f>
        <v>8.625</v>
      </c>
      <c r="H312" s="13">
        <f t="shared" ref="H312:H326" si="165">G312*3.14*2.54</f>
        <v>68.789550000000006</v>
      </c>
      <c r="I312" s="2">
        <f t="shared" ref="I312:I326" si="166">ROUNDUP(H312, 0)</f>
        <v>69</v>
      </c>
      <c r="J312" s="12">
        <v>4</v>
      </c>
      <c r="K312" s="12">
        <v>13</v>
      </c>
      <c r="L312" s="16" t="s">
        <v>13</v>
      </c>
      <c r="M312" s="14">
        <f t="shared" si="157"/>
        <v>8</v>
      </c>
      <c r="N312" s="15">
        <f t="shared" si="158"/>
        <v>8</v>
      </c>
      <c r="O312" s="15" t="str">
        <f t="shared" si="159"/>
        <v>NO</v>
      </c>
      <c r="P312" s="25" t="str">
        <f>IF(L312&lt;&gt;0, IF(L312="Gap", O312, IF(L313&lt;&gt;0,  IF(O312="NO", "NO", "YES"), IF(L314&lt;&gt;0, IF(AND(O312="NO", O313="NO"), "NO", "YES"), IF(L315&lt;&gt;0, IF(AND(O312="NO", O313="NO", O314="NO"), "NO", "YES"), IF(AND(O312="NO", O313="NO", O314="NO", O315="NO"), "NO", "YES"))))))</f>
        <v>NO</v>
      </c>
      <c r="Q312" s="25">
        <f t="shared" ref="Q312:Q323" si="167">IF(L312=0,0,IF(L313&lt;&gt;0,N312,IF(L314&lt;&gt;0,N312+N313,IF(L315&lt;&gt;0,N312+N313+N314,IF(L316&lt;&gt;0,N312+N313+N314+N315,IF(L317&lt;&gt;0,N312+N313+N314+N315+N316,N312+N313+N314+N315+N316+N317))))))</f>
        <v>8</v>
      </c>
      <c r="R312" s="25">
        <f t="shared" si="160"/>
        <v>8</v>
      </c>
      <c r="S312" s="25">
        <f t="shared" si="161"/>
        <v>8</v>
      </c>
      <c r="T312" s="12" t="s">
        <v>7</v>
      </c>
      <c r="U312" s="12" t="s">
        <v>35</v>
      </c>
      <c r="V312" s="25">
        <f t="shared" si="162"/>
        <v>8</v>
      </c>
      <c r="W312" s="10">
        <f t="shared" ref="W312:W326" si="168">V312*2400000</f>
        <v>19200000</v>
      </c>
      <c r="Y312" s="1">
        <f t="shared" si="163"/>
        <v>1</v>
      </c>
    </row>
    <row r="313" spans="1:25" ht="15.75" outlineLevel="1" thickBot="1" x14ac:dyDescent="0.3">
      <c r="A313" s="12" t="s">
        <v>5</v>
      </c>
      <c r="B313" s="16"/>
      <c r="C313" s="30">
        <v>1</v>
      </c>
      <c r="D313" s="11">
        <v>8</v>
      </c>
      <c r="E313" s="11">
        <f t="shared" si="164"/>
        <v>8</v>
      </c>
      <c r="F313" s="11">
        <f t="shared" si="156"/>
        <v>8</v>
      </c>
      <c r="G313" s="2">
        <f>VLOOKUP('930-4'!D313,Table1[],2,0)</f>
        <v>8.625</v>
      </c>
      <c r="H313" s="13">
        <f t="shared" si="165"/>
        <v>68.789550000000006</v>
      </c>
      <c r="I313" s="2">
        <f t="shared" si="166"/>
        <v>69</v>
      </c>
      <c r="J313" s="12">
        <v>4</v>
      </c>
      <c r="K313" s="12">
        <v>13</v>
      </c>
      <c r="L313" s="16" t="s">
        <v>13</v>
      </c>
      <c r="M313" s="14">
        <f t="shared" si="157"/>
        <v>8</v>
      </c>
      <c r="N313" s="15">
        <f t="shared" si="158"/>
        <v>8</v>
      </c>
      <c r="O313" s="15" t="str">
        <f t="shared" si="159"/>
        <v>YES</v>
      </c>
      <c r="P313" s="25" t="str">
        <f>IF(L313&lt;&gt;0, IF(L313="Gap", O313, IF(L314&lt;&gt;0,  IF(O313="NO", "NO", "YES"), IF(L315&lt;&gt;0, IF(AND(O313="NO", O314="NO"), "NO", "YES"), IF(L321&lt;&gt;0, IF(AND(O313="NO", O314="NO", O315="NO"), "NO", "YES"), IF(AND(O313="NO", O314="NO", O315="NO", O321="NO"), "NO", "YES"))))))</f>
        <v>YES</v>
      </c>
      <c r="Q313" s="25">
        <f t="shared" si="167"/>
        <v>8</v>
      </c>
      <c r="R313" s="25">
        <f t="shared" si="160"/>
        <v>0</v>
      </c>
      <c r="S313" s="25">
        <f t="shared" si="161"/>
        <v>0</v>
      </c>
      <c r="T313" s="12" t="s">
        <v>31</v>
      </c>
      <c r="U313" s="12" t="s">
        <v>35</v>
      </c>
      <c r="V313" s="25">
        <f t="shared" si="162"/>
        <v>0</v>
      </c>
      <c r="W313" s="10">
        <f t="shared" si="168"/>
        <v>0</v>
      </c>
      <c r="X313" s="33"/>
      <c r="Y313" s="1">
        <f t="shared" si="163"/>
        <v>1</v>
      </c>
    </row>
    <row r="314" spans="1:25" ht="15.75" outlineLevel="1" thickBot="1" x14ac:dyDescent="0.3">
      <c r="A314" s="12" t="s">
        <v>5</v>
      </c>
      <c r="B314" s="16"/>
      <c r="C314" s="30">
        <v>1</v>
      </c>
      <c r="D314" s="11">
        <v>2</v>
      </c>
      <c r="E314" s="11">
        <f t="shared" si="164"/>
        <v>2</v>
      </c>
      <c r="F314" s="11">
        <f t="shared" si="156"/>
        <v>2</v>
      </c>
      <c r="G314" s="2">
        <f>VLOOKUP('930-4'!D314,Table1[],2,0)</f>
        <v>2.375</v>
      </c>
      <c r="H314" s="13">
        <f t="shared" si="165"/>
        <v>18.942050000000002</v>
      </c>
      <c r="I314" s="2">
        <f t="shared" si="166"/>
        <v>19</v>
      </c>
      <c r="J314" s="12">
        <v>20</v>
      </c>
      <c r="K314" s="12">
        <v>40</v>
      </c>
      <c r="L314" s="16" t="s">
        <v>13</v>
      </c>
      <c r="M314" s="14">
        <f t="shared" si="157"/>
        <v>3</v>
      </c>
      <c r="N314" s="15">
        <f t="shared" si="158"/>
        <v>3</v>
      </c>
      <c r="O314" s="15" t="str">
        <f t="shared" si="159"/>
        <v>NO</v>
      </c>
      <c r="P314" s="25" t="str">
        <f>IF(L314&lt;&gt;0, IF(L314="Gap", O314, IF(L315&lt;&gt;0,  IF(O314="NO", "NO", "YES"), IF(L321&lt;&gt;0, IF(AND(O314="NO", O315="NO"), "NO", "YES"), IF(L322&lt;&gt;0, IF(AND(O314="NO", O315="NO", O321="NO"), "NO", "YES"), IF(AND(O314="NO", O315="NO", O321="NO", O322="NO"), "NO", "YES"))))))</f>
        <v>NO</v>
      </c>
      <c r="Q314" s="25">
        <f t="shared" si="167"/>
        <v>3</v>
      </c>
      <c r="R314" s="25">
        <f t="shared" si="160"/>
        <v>3</v>
      </c>
      <c r="S314" s="25">
        <f t="shared" si="161"/>
        <v>3</v>
      </c>
      <c r="T314" s="12" t="s">
        <v>7</v>
      </c>
      <c r="U314" s="12" t="s">
        <v>35</v>
      </c>
      <c r="V314" s="25">
        <f t="shared" si="162"/>
        <v>3</v>
      </c>
      <c r="W314" s="10">
        <f t="shared" si="168"/>
        <v>7200000</v>
      </c>
      <c r="Y314" s="1">
        <f t="shared" si="163"/>
        <v>1</v>
      </c>
    </row>
    <row r="315" spans="1:25" ht="15.75" outlineLevel="1" thickBot="1" x14ac:dyDescent="0.3">
      <c r="A315" s="12" t="s">
        <v>5</v>
      </c>
      <c r="B315" s="16"/>
      <c r="C315" s="30">
        <v>0</v>
      </c>
      <c r="D315" s="11">
        <v>28</v>
      </c>
      <c r="E315" s="11">
        <f t="shared" si="164"/>
        <v>28</v>
      </c>
      <c r="F315" s="11">
        <f t="shared" si="156"/>
        <v>0</v>
      </c>
      <c r="G315" s="2">
        <f>VLOOKUP('930-4'!D315,Table1[],2,0)</f>
        <v>28</v>
      </c>
      <c r="H315" s="13">
        <f t="shared" si="165"/>
        <v>223.3168</v>
      </c>
      <c r="I315" s="13">
        <f>ROUNDUP(H315, 0)</f>
        <v>224</v>
      </c>
      <c r="J315" s="12">
        <v>65</v>
      </c>
      <c r="K315" s="12">
        <v>85</v>
      </c>
      <c r="L315" s="16" t="s">
        <v>13</v>
      </c>
      <c r="M315" s="14">
        <f t="shared" si="157"/>
        <v>0</v>
      </c>
      <c r="N315" s="15">
        <f t="shared" si="158"/>
        <v>0</v>
      </c>
      <c r="O315" s="15" t="str">
        <f t="shared" si="159"/>
        <v>NO</v>
      </c>
      <c r="P315" s="25" t="str">
        <f>IF(L315&lt;&gt;0, IF(L315="Gap", O315, IF(L321&lt;&gt;0,  IF(O315="NO", "NO", "YES"), IF(L322&lt;&gt;0, IF(AND(O315="NO", O321="NO"), "NO", "YES"), IF(L323&lt;&gt;0, IF(AND(O315="NO", O321="NO", O322="NO"), "NO", "YES"), IF(AND(O315="NO", O321="NO", O322="NO", O323="NO"), "NO", "YES"))))))</f>
        <v>NO</v>
      </c>
      <c r="Q315" s="25">
        <f t="shared" si="167"/>
        <v>0</v>
      </c>
      <c r="R315" s="25">
        <f t="shared" si="160"/>
        <v>0</v>
      </c>
      <c r="S315" s="25">
        <f t="shared" si="161"/>
        <v>0</v>
      </c>
      <c r="T315" s="12" t="s">
        <v>7</v>
      </c>
      <c r="U315" s="12" t="s">
        <v>35</v>
      </c>
      <c r="V315" s="25">
        <f t="shared" si="162"/>
        <v>0</v>
      </c>
      <c r="W315" s="10">
        <f t="shared" si="168"/>
        <v>0</v>
      </c>
      <c r="Y315" s="1">
        <f t="shared" si="163"/>
        <v>1</v>
      </c>
    </row>
    <row r="316" spans="1:25" ht="15.75" outlineLevel="1" thickBot="1" x14ac:dyDescent="0.3">
      <c r="A316" s="12" t="s">
        <v>5</v>
      </c>
      <c r="B316" s="32"/>
      <c r="C316" s="30">
        <v>0</v>
      </c>
      <c r="D316" s="11">
        <v>10</v>
      </c>
      <c r="E316" s="11">
        <f t="shared" si="164"/>
        <v>10</v>
      </c>
      <c r="F316" s="11">
        <f t="shared" si="156"/>
        <v>0</v>
      </c>
      <c r="G316" s="2">
        <f>VLOOKUP('930-4'!D316,Table1[],2,0)</f>
        <v>10.75</v>
      </c>
      <c r="H316" s="13">
        <f t="shared" si="165"/>
        <v>85.737700000000004</v>
      </c>
      <c r="I316" s="2">
        <f t="shared" si="166"/>
        <v>86</v>
      </c>
      <c r="J316" s="12">
        <v>40</v>
      </c>
      <c r="K316" s="12">
        <v>125</v>
      </c>
      <c r="L316" s="16" t="s">
        <v>13</v>
      </c>
      <c r="M316" s="14">
        <f t="shared" si="157"/>
        <v>0</v>
      </c>
      <c r="N316" s="15">
        <f t="shared" si="158"/>
        <v>0</v>
      </c>
      <c r="O316" s="15" t="str">
        <f t="shared" si="159"/>
        <v>NO</v>
      </c>
      <c r="P316" s="25" t="str">
        <f>IF(L316&lt;&gt;0, IF(L316="Gap", O316, IF(L317&lt;&gt;0,  IF(O316="NO", "NO", "YES"), IF(L318&lt;&gt;0, IF(AND(O316="NO", O317="NO"), "NO", "YES"), IF(L319&lt;&gt;0, IF(AND(O316="NO", O317="NO", O318="NO"), "NO", "YES"), IF(AND(O316="NO", O317="NO", O318="NO", O319="NO"), "NO", "YES"))))))</f>
        <v>NO</v>
      </c>
      <c r="Q316" s="25">
        <f t="shared" si="167"/>
        <v>0</v>
      </c>
      <c r="R316" s="25">
        <f t="shared" si="160"/>
        <v>0</v>
      </c>
      <c r="S316" s="25">
        <f t="shared" si="161"/>
        <v>0</v>
      </c>
      <c r="T316" s="12" t="s">
        <v>7</v>
      </c>
      <c r="U316" s="12" t="s">
        <v>35</v>
      </c>
      <c r="V316" s="25">
        <f t="shared" si="162"/>
        <v>0</v>
      </c>
      <c r="W316" s="10">
        <f t="shared" si="168"/>
        <v>0</v>
      </c>
      <c r="Y316" s="1">
        <f t="shared" si="163"/>
        <v>1</v>
      </c>
    </row>
    <row r="317" spans="1:25" ht="15.75" outlineLevel="1" thickBot="1" x14ac:dyDescent="0.3">
      <c r="A317" s="12" t="s">
        <v>5</v>
      </c>
      <c r="B317" s="16"/>
      <c r="C317" s="30">
        <v>0</v>
      </c>
      <c r="D317" s="11">
        <v>6</v>
      </c>
      <c r="E317" s="11">
        <f t="shared" si="164"/>
        <v>6</v>
      </c>
      <c r="F317" s="11">
        <f t="shared" si="156"/>
        <v>6</v>
      </c>
      <c r="G317" s="2">
        <f>VLOOKUP('930-4'!D317,Table1[],2,0)</f>
        <v>6.625</v>
      </c>
      <c r="H317" s="13">
        <f t="shared" si="165"/>
        <v>52.838350000000005</v>
      </c>
      <c r="I317" s="2">
        <f t="shared" si="166"/>
        <v>53</v>
      </c>
      <c r="J317" s="12">
        <v>40</v>
      </c>
      <c r="K317" s="12">
        <v>125</v>
      </c>
      <c r="L317" s="16" t="s">
        <v>34</v>
      </c>
      <c r="M317" s="14">
        <f t="shared" si="157"/>
        <v>0</v>
      </c>
      <c r="N317" s="15">
        <f t="shared" si="158"/>
        <v>0</v>
      </c>
      <c r="O317" s="15" t="str">
        <f t="shared" si="159"/>
        <v>NO</v>
      </c>
      <c r="P317" s="25" t="str">
        <f>IF(L317&lt;&gt;0, IF(L317="Gap", O317, IF(L318&lt;&gt;0,  IF(O317="NO", "NO", "YES"), IF(L319&lt;&gt;0, IF(AND(O317="NO", O318="NO"), "NO", "YES"), IF(L321&lt;&gt;0, IF(AND(O317="NO", O318="NO", O319="NO"), "NO", "YES"), IF(AND(O317="NO", O318="NO", O319="NO", O321="NO"), "NO", "YES"))))))</f>
        <v>NO</v>
      </c>
      <c r="Q317" s="25">
        <f t="shared" si="167"/>
        <v>0</v>
      </c>
      <c r="R317" s="25">
        <f t="shared" si="160"/>
        <v>0</v>
      </c>
      <c r="S317" s="25">
        <f t="shared" si="161"/>
        <v>0</v>
      </c>
      <c r="T317" s="12" t="s">
        <v>7</v>
      </c>
      <c r="U317" s="12" t="s">
        <v>35</v>
      </c>
      <c r="V317" s="25">
        <f t="shared" si="162"/>
        <v>0</v>
      </c>
      <c r="W317" s="10">
        <f t="shared" si="168"/>
        <v>0</v>
      </c>
      <c r="Y317" s="1">
        <f t="shared" si="163"/>
        <v>1</v>
      </c>
    </row>
    <row r="318" spans="1:25" ht="15.75" outlineLevel="1" thickBot="1" x14ac:dyDescent="0.3">
      <c r="A318" s="12" t="s">
        <v>5</v>
      </c>
      <c r="B318" s="16"/>
      <c r="C318" s="30">
        <v>1</v>
      </c>
      <c r="D318" s="11">
        <v>0.75</v>
      </c>
      <c r="E318" s="11">
        <f t="shared" si="164"/>
        <v>0.75</v>
      </c>
      <c r="F318" s="11">
        <f t="shared" si="156"/>
        <v>0.75</v>
      </c>
      <c r="G318" s="2">
        <f>VLOOKUP('930-4'!D318,Table1[],2,0)</f>
        <v>1.05</v>
      </c>
      <c r="H318" s="13">
        <f t="shared" si="165"/>
        <v>8.3743800000000004</v>
      </c>
      <c r="I318" s="2">
        <f t="shared" si="166"/>
        <v>9</v>
      </c>
      <c r="J318" s="12">
        <v>40</v>
      </c>
      <c r="K318" s="12">
        <v>45</v>
      </c>
      <c r="L318" s="34" t="s">
        <v>13</v>
      </c>
      <c r="M318" s="14">
        <f t="shared" si="157"/>
        <v>3</v>
      </c>
      <c r="N318" s="15">
        <f t="shared" si="158"/>
        <v>3</v>
      </c>
      <c r="O318" s="15" t="str">
        <f t="shared" si="159"/>
        <v>NO</v>
      </c>
      <c r="P318" s="25" t="str">
        <f>IF(L318&lt;&gt;0, IF(L318="Gap", O318, IF(L319&lt;&gt;0,  IF(O318="NO", "NO", "YES"), IF(L321&lt;&gt;0, IF(AND(O318="NO", O319="NO"), "NO", "YES"), IF(L322&lt;&gt;0, IF(AND(O318="NO", O319="NO", O321="NO"), "NO", "YES"), IF(AND(O318="NO", O319="NO", O321="NO", O322="NO"), "NO", "YES"))))))</f>
        <v>NO</v>
      </c>
      <c r="Q318" s="25">
        <f t="shared" si="167"/>
        <v>3</v>
      </c>
      <c r="R318" s="25">
        <f t="shared" si="160"/>
        <v>3</v>
      </c>
      <c r="S318" s="25">
        <f t="shared" si="161"/>
        <v>3</v>
      </c>
      <c r="T318" s="12" t="s">
        <v>7</v>
      </c>
      <c r="U318" s="12" t="s">
        <v>35</v>
      </c>
      <c r="V318" s="25">
        <f t="shared" si="162"/>
        <v>3</v>
      </c>
      <c r="W318" s="10">
        <f t="shared" si="168"/>
        <v>7200000</v>
      </c>
      <c r="Y318" s="1">
        <f t="shared" si="163"/>
        <v>2</v>
      </c>
    </row>
    <row r="319" spans="1:25" ht="15.75" outlineLevel="1" thickBot="1" x14ac:dyDescent="0.3">
      <c r="A319" s="16" t="s">
        <v>5</v>
      </c>
      <c r="B319" s="16"/>
      <c r="C319" s="30">
        <v>0</v>
      </c>
      <c r="D319" s="17">
        <v>18</v>
      </c>
      <c r="E319" s="11">
        <f t="shared" si="164"/>
        <v>18</v>
      </c>
      <c r="F319" s="11">
        <f t="shared" si="156"/>
        <v>18</v>
      </c>
      <c r="G319" s="2">
        <f>VLOOKUP('930-4'!D319,Table1[],2,0)</f>
        <v>18</v>
      </c>
      <c r="H319" s="19">
        <f t="shared" si="165"/>
        <v>143.5608</v>
      </c>
      <c r="I319" s="18">
        <f t="shared" si="166"/>
        <v>144</v>
      </c>
      <c r="J319" s="12">
        <v>40</v>
      </c>
      <c r="K319" s="12">
        <v>10</v>
      </c>
      <c r="L319" s="35"/>
      <c r="M319" s="14">
        <f t="shared" si="157"/>
        <v>0</v>
      </c>
      <c r="N319" s="15">
        <f t="shared" si="158"/>
        <v>0</v>
      </c>
      <c r="O319" s="15" t="str">
        <f t="shared" si="159"/>
        <v>NO</v>
      </c>
      <c r="P319" s="25" t="b">
        <f>IF(L319&lt;&gt;0, IF(L319="Gap", O319, IF(L321&lt;&gt;0,  IF(O319="NO", "NO", "YES"), IF(L322&lt;&gt;0, IF(AND(O319="NO", O321="NO"), "NO", "YES"), IF(L323&lt;&gt;0, IF(AND(O319="NO", O321="NO", O322="NO"), "NO", "YES"), IF(AND(O319="NO", O321="NO", O322="NO", O323="NO"), "NO", "YES"))))))</f>
        <v>0</v>
      </c>
      <c r="Q319" s="25">
        <f t="shared" si="167"/>
        <v>0</v>
      </c>
      <c r="R319" s="25">
        <f t="shared" si="160"/>
        <v>0</v>
      </c>
      <c r="S319" s="25">
        <f t="shared" si="161"/>
        <v>0</v>
      </c>
      <c r="T319" s="12" t="s">
        <v>7</v>
      </c>
      <c r="U319" s="12" t="s">
        <v>35</v>
      </c>
      <c r="V319" s="25">
        <f t="shared" si="162"/>
        <v>0</v>
      </c>
      <c r="W319" s="10">
        <f t="shared" si="168"/>
        <v>0</v>
      </c>
      <c r="Y319" s="1">
        <f t="shared" si="163"/>
        <v>2</v>
      </c>
    </row>
    <row r="320" spans="1:25" ht="15.75" outlineLevel="1" thickBot="1" x14ac:dyDescent="0.3">
      <c r="A320" s="12" t="s">
        <v>5</v>
      </c>
      <c r="B320" s="16"/>
      <c r="C320" s="30">
        <v>0</v>
      </c>
      <c r="D320" s="11">
        <v>10</v>
      </c>
      <c r="E320" s="11">
        <f t="shared" si="164"/>
        <v>10</v>
      </c>
      <c r="F320" s="11">
        <f t="shared" si="156"/>
        <v>0</v>
      </c>
      <c r="G320" s="2">
        <f>VLOOKUP('930-4'!D320,Table1[],2,0)</f>
        <v>10.75</v>
      </c>
      <c r="H320" s="13">
        <f t="shared" si="165"/>
        <v>85.737700000000004</v>
      </c>
      <c r="I320" s="2">
        <f t="shared" si="166"/>
        <v>86</v>
      </c>
      <c r="J320" s="12">
        <v>40</v>
      </c>
      <c r="K320" s="12">
        <v>35</v>
      </c>
      <c r="L320" s="16" t="s">
        <v>13</v>
      </c>
      <c r="M320" s="14">
        <f t="shared" si="157"/>
        <v>0</v>
      </c>
      <c r="N320" s="15">
        <f t="shared" si="158"/>
        <v>0</v>
      </c>
      <c r="O320" s="15" t="str">
        <f t="shared" si="159"/>
        <v>NO</v>
      </c>
      <c r="P320" s="25" t="str">
        <f>IF(L320&lt;&gt;0, IF(L320="Gap", O320, IF(L326&lt;&gt;0,  IF(O320="NO", "NO", "YES"), IF(L327&lt;&gt;0, IF(AND(O320="NO", O326="NO"), "NO", "YES"), IF(L328&lt;&gt;0, IF(AND(O320="NO", O326="NO", O327="NO"), "NO", "YES"), IF(AND(O320="NO", O326="NO", O327="NO", O328="NO"), "NO", "YES"))))))</f>
        <v>NO</v>
      </c>
      <c r="Q320" s="25">
        <f t="shared" si="167"/>
        <v>0</v>
      </c>
      <c r="R320" s="25">
        <f t="shared" si="160"/>
        <v>0</v>
      </c>
      <c r="S320" s="25">
        <f t="shared" si="161"/>
        <v>0</v>
      </c>
      <c r="T320" s="12" t="s">
        <v>7</v>
      </c>
      <c r="U320" s="12" t="s">
        <v>35</v>
      </c>
      <c r="V320" s="25">
        <f t="shared" si="162"/>
        <v>0</v>
      </c>
      <c r="W320" s="10">
        <f t="shared" si="168"/>
        <v>0</v>
      </c>
      <c r="Y320" s="1">
        <f t="shared" si="163"/>
        <v>1</v>
      </c>
    </row>
    <row r="321" spans="1:25" ht="15.75" outlineLevel="1" thickBot="1" x14ac:dyDescent="0.3">
      <c r="A321" s="12" t="s">
        <v>5</v>
      </c>
      <c r="B321" s="32"/>
      <c r="C321" s="30">
        <v>1</v>
      </c>
      <c r="D321" s="11">
        <v>0.75</v>
      </c>
      <c r="E321" s="11">
        <f t="shared" si="164"/>
        <v>0.75</v>
      </c>
      <c r="F321" s="11">
        <f t="shared" si="156"/>
        <v>0.75</v>
      </c>
      <c r="G321" s="2">
        <f>VLOOKUP('930-4'!D321,Table1[],2,0)</f>
        <v>1.05</v>
      </c>
      <c r="H321" s="13">
        <f t="shared" si="165"/>
        <v>8.3743800000000004</v>
      </c>
      <c r="I321" s="2">
        <f t="shared" si="166"/>
        <v>9</v>
      </c>
      <c r="J321" s="12">
        <v>40</v>
      </c>
      <c r="K321" s="12">
        <v>50</v>
      </c>
      <c r="L321" s="34" t="s">
        <v>13</v>
      </c>
      <c r="M321" s="14">
        <f t="shared" si="157"/>
        <v>3</v>
      </c>
      <c r="N321" s="15">
        <f t="shared" si="158"/>
        <v>3</v>
      </c>
      <c r="O321" s="15" t="str">
        <f t="shared" si="159"/>
        <v>NO</v>
      </c>
      <c r="P321" s="25" t="str">
        <f>IF(L321&lt;&gt;0, IF(L321="Gap", O321, IF(L322&lt;&gt;0,  IF(O321="NO", "NO", "YES"), IF(L323&lt;&gt;0, IF(AND(O321="NO", O322="NO"), "NO", "YES"), IF(L324&lt;&gt;0, IF(AND(O321="NO", O322="NO", O323="NO"), "NO", "YES"), IF(AND(O321="NO", O322="NO", O323="NO", O324="NO"), "NO", "YES"))))))</f>
        <v>NO</v>
      </c>
      <c r="Q321" s="25">
        <f t="shared" si="167"/>
        <v>3</v>
      </c>
      <c r="R321" s="25">
        <f t="shared" si="160"/>
        <v>3</v>
      </c>
      <c r="S321" s="25">
        <f t="shared" si="161"/>
        <v>3</v>
      </c>
      <c r="T321" s="12" t="s">
        <v>7</v>
      </c>
      <c r="U321" s="12" t="s">
        <v>35</v>
      </c>
      <c r="V321" s="25">
        <f t="shared" si="162"/>
        <v>3</v>
      </c>
      <c r="W321" s="10">
        <f t="shared" si="168"/>
        <v>7200000</v>
      </c>
      <c r="Y321" s="1">
        <f t="shared" si="163"/>
        <v>2</v>
      </c>
    </row>
    <row r="322" spans="1:25" ht="15.75" outlineLevel="1" thickBot="1" x14ac:dyDescent="0.3">
      <c r="A322" s="12" t="s">
        <v>5</v>
      </c>
      <c r="B322" s="16"/>
      <c r="C322" s="30">
        <v>0</v>
      </c>
      <c r="D322" s="11">
        <v>10</v>
      </c>
      <c r="E322" s="11">
        <f t="shared" si="164"/>
        <v>10</v>
      </c>
      <c r="F322" s="11">
        <f t="shared" si="156"/>
        <v>10</v>
      </c>
      <c r="G322" s="2">
        <f>VLOOKUP('930-4'!D322,Table1[],2,0)</f>
        <v>10.75</v>
      </c>
      <c r="H322" s="13">
        <f t="shared" si="165"/>
        <v>85.737700000000004</v>
      </c>
      <c r="I322" s="2">
        <f t="shared" si="166"/>
        <v>86</v>
      </c>
      <c r="J322" s="12">
        <v>40</v>
      </c>
      <c r="K322" s="12">
        <v>80</v>
      </c>
      <c r="L322" s="35"/>
      <c r="M322" s="14">
        <f t="shared" si="157"/>
        <v>0</v>
      </c>
      <c r="N322" s="15">
        <f t="shared" si="158"/>
        <v>0</v>
      </c>
      <c r="O322" s="15" t="str">
        <f t="shared" si="159"/>
        <v>NO</v>
      </c>
      <c r="P322" s="25" t="b">
        <f>IF(L322&lt;&gt;0, IF(L322="Gap", O322, IF(L323&lt;&gt;0,  IF(O322="NO", "NO", "YES"), IF(L324&lt;&gt;0, IF(AND(O322="NO", O323="NO"), "NO", "YES"), IF(L326&lt;&gt;0, IF(AND(O322="NO", O323="NO", O324="NO"), "NO", "YES"), IF(AND(O322="NO", O323="NO", O324="NO", O326="NO"), "NO", "YES"))))))</f>
        <v>0</v>
      </c>
      <c r="Q322" s="25">
        <f t="shared" si="167"/>
        <v>0</v>
      </c>
      <c r="R322" s="25">
        <f t="shared" si="160"/>
        <v>0</v>
      </c>
      <c r="S322" s="25">
        <f t="shared" si="161"/>
        <v>0</v>
      </c>
      <c r="T322" s="12" t="s">
        <v>7</v>
      </c>
      <c r="U322" s="12" t="s">
        <v>35</v>
      </c>
      <c r="V322" s="25">
        <f t="shared" si="162"/>
        <v>0</v>
      </c>
      <c r="W322" s="10">
        <f t="shared" si="168"/>
        <v>0</v>
      </c>
      <c r="Y322" s="1">
        <f t="shared" si="163"/>
        <v>2</v>
      </c>
    </row>
    <row r="323" spans="1:25" ht="15.75" outlineLevel="1" thickBot="1" x14ac:dyDescent="0.3">
      <c r="A323" s="12" t="s">
        <v>5</v>
      </c>
      <c r="B323" s="16"/>
      <c r="C323" s="30">
        <v>0</v>
      </c>
      <c r="D323" s="11">
        <v>10</v>
      </c>
      <c r="E323" s="11">
        <f t="shared" si="164"/>
        <v>10</v>
      </c>
      <c r="F323" s="11">
        <f t="shared" si="156"/>
        <v>10</v>
      </c>
      <c r="G323" s="2">
        <f>VLOOKUP('930-4'!D323,Table1[],2,0)</f>
        <v>10.75</v>
      </c>
      <c r="H323" s="13">
        <f t="shared" si="165"/>
        <v>85.737700000000004</v>
      </c>
      <c r="I323" s="2">
        <f t="shared" si="166"/>
        <v>86</v>
      </c>
      <c r="J323" s="12">
        <v>40</v>
      </c>
      <c r="K323" s="12">
        <v>55</v>
      </c>
      <c r="L323" s="34" t="s">
        <v>34</v>
      </c>
      <c r="M323" s="14">
        <f t="shared" si="157"/>
        <v>0</v>
      </c>
      <c r="N323" s="15">
        <f t="shared" si="158"/>
        <v>0</v>
      </c>
      <c r="O323" s="15" t="str">
        <f t="shared" si="159"/>
        <v>NO</v>
      </c>
      <c r="P323" s="25" t="str">
        <f>IF(L323&lt;&gt;0, IF(L323="Gap", O323, IF(L324&lt;&gt;0,  IF(O323="NO", "NO", "YES"), IF(L326&lt;&gt;0, IF(AND(O323="NO", O324="NO"), "NO", "YES"), IF(L327&lt;&gt;0, IF(AND(O323="NO", O324="NO", O326="NO"), "NO", "YES"), IF(AND(O323="NO", O324="NO", O326="NO", O327="NO"), "NO", "YES"))))))</f>
        <v>NO</v>
      </c>
      <c r="Q323" s="25">
        <f t="shared" si="167"/>
        <v>0</v>
      </c>
      <c r="R323" s="25">
        <f t="shared" si="160"/>
        <v>0</v>
      </c>
      <c r="S323" s="25">
        <f t="shared" si="161"/>
        <v>0</v>
      </c>
      <c r="T323" s="12" t="s">
        <v>7</v>
      </c>
      <c r="U323" s="12" t="s">
        <v>35</v>
      </c>
      <c r="V323" s="25">
        <f t="shared" si="162"/>
        <v>0</v>
      </c>
      <c r="W323" s="10">
        <f t="shared" si="168"/>
        <v>0</v>
      </c>
      <c r="Y323" s="1">
        <f t="shared" si="163"/>
        <v>1</v>
      </c>
    </row>
    <row r="324" spans="1:25" ht="15.75" outlineLevel="1" thickBot="1" x14ac:dyDescent="0.3">
      <c r="A324" s="16" t="s">
        <v>5</v>
      </c>
      <c r="B324" s="16"/>
      <c r="C324" s="30">
        <v>0</v>
      </c>
      <c r="D324" s="17">
        <v>10</v>
      </c>
      <c r="E324" s="11">
        <f t="shared" si="164"/>
        <v>10</v>
      </c>
      <c r="F324" s="11">
        <f t="shared" si="156"/>
        <v>10</v>
      </c>
      <c r="G324" s="2">
        <f>VLOOKUP('930-4'!D324,Table1[],2,0)</f>
        <v>10.75</v>
      </c>
      <c r="H324" s="19">
        <f t="shared" si="165"/>
        <v>85.737700000000004</v>
      </c>
      <c r="I324" s="18">
        <f t="shared" si="166"/>
        <v>86</v>
      </c>
      <c r="J324" s="12">
        <v>40</v>
      </c>
      <c r="K324" s="12">
        <v>75</v>
      </c>
      <c r="L324" s="35"/>
      <c r="M324" s="14">
        <f t="shared" si="157"/>
        <v>0</v>
      </c>
      <c r="N324" s="15">
        <f t="shared" si="158"/>
        <v>0</v>
      </c>
      <c r="O324" s="15" t="str">
        <f t="shared" si="159"/>
        <v>NO</v>
      </c>
      <c r="P324" s="25" t="b">
        <f>IF(L324&lt;&gt;0, IF(L324="Gap", O324, IF(L326&lt;&gt;0,  IF(O324="NO", "NO", "YES"), IF(L327&lt;&gt;0, IF(AND(O324="NO", O326="NO"), "NO", "YES"), IF(L328&lt;&gt;0, IF(AND(O324="NO", O326="NO", O327="NO"), "NO", "YES"), IF(AND(O324="NO", O326="NO", O327="NO", O328="NO"), "NO", "YES"))))))</f>
        <v>0</v>
      </c>
      <c r="Q324" s="25">
        <f>IF(L324=0,0,IF(L325&lt;&gt;0,N324,IF(L326&lt;&gt;0,N324+N325,IF(L327&lt;&gt;0,N324+N325+N326,IF(L328&lt;&gt;0,N324+N325+N326+N327,IF(#REF!&lt;&gt;0,N324+N325+N326+N327+N328,N324+N325+N326+N327+N328+#REF!))))))</f>
        <v>0</v>
      </c>
      <c r="R324" s="25">
        <f t="shared" si="160"/>
        <v>0</v>
      </c>
      <c r="S324" s="25">
        <f>IF(L324=0, 0, IF(L325&lt;&gt;0, R324, IF(L326&lt;&gt;0, R324+R325, IF(L327&lt;&gt;0, R324+R325+R326, IF(L328&lt;&gt;0, R324+R325+R326+R327, IF(#REF!&lt;&gt;0, R324+R325+R326+R327+R328, R324+R325+R326+R327+R328+#REF!))))))</f>
        <v>0</v>
      </c>
      <c r="T324" s="12" t="s">
        <v>7</v>
      </c>
      <c r="U324" s="12" t="s">
        <v>35</v>
      </c>
      <c r="V324" s="25">
        <f t="shared" si="162"/>
        <v>0</v>
      </c>
      <c r="W324" s="10">
        <f t="shared" si="168"/>
        <v>0</v>
      </c>
      <c r="Y324" s="1">
        <f t="shared" si="163"/>
        <v>1</v>
      </c>
    </row>
    <row r="325" spans="1:25" ht="15.75" outlineLevel="1" thickBot="1" x14ac:dyDescent="0.3">
      <c r="A325" s="16"/>
      <c r="B325" s="16"/>
      <c r="C325" s="30">
        <v>0</v>
      </c>
      <c r="D325" s="17">
        <v>10</v>
      </c>
      <c r="E325" s="11">
        <f t="shared" si="164"/>
        <v>10</v>
      </c>
      <c r="F325" s="11">
        <f t="shared" si="156"/>
        <v>0</v>
      </c>
      <c r="G325" s="2">
        <f>VLOOKUP('930-4'!D325,Table1[],2,0)</f>
        <v>10.75</v>
      </c>
      <c r="H325" s="19">
        <f t="shared" si="165"/>
        <v>85.737700000000004</v>
      </c>
      <c r="I325" s="18">
        <f t="shared" si="166"/>
        <v>86</v>
      </c>
      <c r="J325" s="12">
        <v>40</v>
      </c>
      <c r="K325" s="12">
        <v>45</v>
      </c>
      <c r="L325" s="16" t="s">
        <v>13</v>
      </c>
      <c r="M325" s="14">
        <f t="shared" si="157"/>
        <v>0</v>
      </c>
      <c r="N325" s="15">
        <f t="shared" si="158"/>
        <v>0</v>
      </c>
      <c r="O325" s="15" t="str">
        <f t="shared" si="159"/>
        <v>NO</v>
      </c>
      <c r="P325" s="25" t="str">
        <f>IF(L325&lt;&gt;0, IF(L325="Gap", O325, IF(L326&lt;&gt;0,  IF(O325="NO", "NO", "YES"), IF(L327&lt;&gt;0, IF(AND(O325="NO", O326="NO"), "NO", "YES"), IF(L328&lt;&gt;0, IF(AND(O325="NO", O326="NO", O327="NO"), "NO", "YES"), IF(AND(O325="NO", O326="NO", O327="NO", O328="NO"), "NO", "YES"))))))</f>
        <v>NO</v>
      </c>
      <c r="Q325" s="25">
        <f>IF(L325=0,0,IF(L326&lt;&gt;0,N325,IF(L327&lt;&gt;0,N325+N326,IF(L328&lt;&gt;0,N325+N326+N327,IF(#REF!&lt;&gt;0,N325+N326+N327+N328,IF(#REF!&lt;&gt;0,N325+N326+N327+N328+#REF!,N325+N326+N327+N328+#REF!+#REF!))))))</f>
        <v>0</v>
      </c>
      <c r="R325" s="25">
        <f t="shared" si="160"/>
        <v>0</v>
      </c>
      <c r="S325" s="25">
        <f>IF(L325=0, 0, IF(L326&lt;&gt;0, R325, IF(L327&lt;&gt;0, R325+R326, IF(L328&lt;&gt;0, R325+R326+R327, IF(#REF!&lt;&gt;0, R325+R326+R327+R328, IF(#REF!&lt;&gt;0, R325+R326+R327+R328+#REF!, R325+R326+R327+R328+#REF!+#REF!))))))</f>
        <v>0</v>
      </c>
      <c r="T325" s="12" t="s">
        <v>7</v>
      </c>
      <c r="U325" s="12" t="s">
        <v>35</v>
      </c>
      <c r="V325" s="25">
        <f t="shared" si="162"/>
        <v>0</v>
      </c>
      <c r="W325" s="10">
        <f t="shared" si="168"/>
        <v>0</v>
      </c>
      <c r="Y325" s="1">
        <f>IF(L325="FULL",IF(L326=0,IF(L327=0,IF(L328=0,IF(#REF!=0,5,4),3),2),1),IF(L325=0,Y324,1))</f>
        <v>1</v>
      </c>
    </row>
    <row r="326" spans="1:25" outlineLevel="1" x14ac:dyDescent="0.25">
      <c r="A326" s="16"/>
      <c r="B326" s="16"/>
      <c r="C326" s="30">
        <v>0</v>
      </c>
      <c r="D326" s="17">
        <v>2</v>
      </c>
      <c r="E326" s="11">
        <f t="shared" si="164"/>
        <v>2</v>
      </c>
      <c r="F326" s="11">
        <f t="shared" si="156"/>
        <v>0</v>
      </c>
      <c r="G326" s="2">
        <f>VLOOKUP('930-4'!D326,Table1[],2,0)</f>
        <v>2.375</v>
      </c>
      <c r="H326" s="19">
        <f t="shared" si="165"/>
        <v>18.942050000000002</v>
      </c>
      <c r="I326" s="18">
        <f t="shared" si="166"/>
        <v>19</v>
      </c>
      <c r="J326" s="12">
        <v>40</v>
      </c>
      <c r="K326" s="12">
        <v>45</v>
      </c>
      <c r="L326" s="16" t="s">
        <v>13</v>
      </c>
      <c r="M326" s="14">
        <f t="shared" si="157"/>
        <v>0</v>
      </c>
      <c r="N326" s="15">
        <f t="shared" si="158"/>
        <v>0</v>
      </c>
      <c r="O326" s="15" t="str">
        <f t="shared" si="159"/>
        <v>NO</v>
      </c>
      <c r="P326" s="25" t="str">
        <f>IF(L326&lt;&gt;0, IF(L326="Gap", O326, IF(L327&lt;&gt;0,  IF(O326="NO", "NO", "YES"), IF(L328&lt;&gt;0, IF(AND(O326="NO", O327="NO"), "NO", "YES"), IF(#REF!&lt;&gt;0, IF(AND(O326="NO", O327="NO", O328="NO"), "NO", "YES"), IF(AND(O326="NO", O327="NO", O328="NO",#REF!= "NO"), "NO", "YES"))))))</f>
        <v>NO</v>
      </c>
      <c r="Q326" s="25">
        <f>IF(L326=0,0,IF(L327&lt;&gt;0,N326,IF(L328&lt;&gt;0,N326+N327,IF(#REF!&lt;&gt;0,N326+N327+N328,IF(#REF!&lt;&gt;0,N326+N327+N328+#REF!,IF(#REF!&lt;&gt;0,N326+N327+N328+#REF!+#REF!,N326+N327+N328+#REF!+#REF!+#REF!))))))</f>
        <v>0</v>
      </c>
      <c r="R326" s="25">
        <f t="shared" si="160"/>
        <v>0</v>
      </c>
      <c r="S326" s="25">
        <f>IF(L326=0, 0, IF(L327&lt;&gt;0, R326, IF(L328&lt;&gt;0, R326+R327, IF(#REF!&lt;&gt;0, R326+R327+R328, IF(#REF!&lt;&gt;0, R326+R327+R328+#REF!, IF(#REF!&lt;&gt;0, R326+R327+R328+#REF!+#REF!, R326+R327+R328+#REF!+#REF!+#REF!))))))</f>
        <v>0</v>
      </c>
      <c r="T326" s="12" t="s">
        <v>7</v>
      </c>
      <c r="U326" s="12" t="s">
        <v>35</v>
      </c>
      <c r="V326" s="25">
        <f t="shared" si="162"/>
        <v>0</v>
      </c>
      <c r="W326" s="10">
        <f t="shared" si="168"/>
        <v>0</v>
      </c>
      <c r="Y326" s="1">
        <f>IF(L326="FULL",IF(L327=0,IF(L328=0,IF(#REF!=0,IF(#REF!=0,5,4),3),2),1),IF(L326=0,Y325,1))</f>
        <v>1</v>
      </c>
    </row>
    <row r="327" spans="1:25" ht="15" customHeight="1" outlineLevel="1" x14ac:dyDescent="0.25">
      <c r="A327" s="29" t="s">
        <v>20</v>
      </c>
      <c r="B327" s="29" t="s">
        <v>20</v>
      </c>
      <c r="C327" s="29" t="s">
        <v>20</v>
      </c>
      <c r="D327" s="29" t="s">
        <v>20</v>
      </c>
      <c r="E327" s="29" t="s">
        <v>20</v>
      </c>
      <c r="F327" s="29"/>
      <c r="G327" s="29" t="s">
        <v>20</v>
      </c>
      <c r="H327" s="29" t="s">
        <v>20</v>
      </c>
      <c r="I327" s="29" t="s">
        <v>20</v>
      </c>
      <c r="J327" s="29" t="s">
        <v>20</v>
      </c>
      <c r="K327" s="29" t="s">
        <v>20</v>
      </c>
      <c r="L327" s="29" t="s">
        <v>20</v>
      </c>
      <c r="M327" s="29" t="s">
        <v>20</v>
      </c>
      <c r="N327" s="29" t="s">
        <v>20</v>
      </c>
      <c r="O327" s="29" t="s">
        <v>20</v>
      </c>
      <c r="P327" s="29" t="s">
        <v>20</v>
      </c>
      <c r="Q327" s="29" t="s">
        <v>20</v>
      </c>
      <c r="R327" s="29" t="s">
        <v>20</v>
      </c>
      <c r="S327" s="29" t="s">
        <v>20</v>
      </c>
      <c r="T327" s="29" t="s">
        <v>20</v>
      </c>
      <c r="U327" s="29" t="s">
        <v>20</v>
      </c>
      <c r="V327" s="29" t="s">
        <v>20</v>
      </c>
      <c r="W327" s="29" t="s">
        <v>20</v>
      </c>
      <c r="Y327" s="1">
        <f>IF(L327="FULL",IF(L328=0,IF(#REF!=0,IF(#REF!=0,IF(#REF!=0,5,4),3),2),1),IF(L327=0,Y326,1))</f>
        <v>1</v>
      </c>
    </row>
    <row r="328" spans="1:25" ht="15.75" thickBot="1" x14ac:dyDescent="0.3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21"/>
      <c r="N328" s="21"/>
      <c r="O328" s="21"/>
      <c r="P328" s="21"/>
      <c r="Q328" s="31">
        <f>SUM(Q311:Q326)</f>
        <v>79</v>
      </c>
      <c r="R328" s="31"/>
      <c r="S328" s="31">
        <f>SUM(R311:R326)</f>
        <v>71</v>
      </c>
      <c r="T328" s="31"/>
      <c r="U328" s="20"/>
      <c r="V328" s="21">
        <f>IF(COUNTIF(V311:V326,  "Segment Error")=0, IF(AND(SUM(V311:V326)&lt;50, COUNTIF(P311:P326, "YES")=0), 50, SUM(V311:V326)), "Segment Error")</f>
        <v>71</v>
      </c>
      <c r="W328" s="22">
        <f>V328*2400000</f>
        <v>170400000</v>
      </c>
      <c r="Y328" s="1">
        <f>IF(L328="FULL",IF(#REF!=0,IF(#REF!=0,IF(#REF!=0,IF(#REF!=0,5,4),3),2),1),IF(L328=0,Y327,1))</f>
        <v>1</v>
      </c>
    </row>
    <row r="329" spans="1:25" ht="27" customHeight="1" x14ac:dyDescent="0.25">
      <c r="A329" s="44" t="s">
        <v>51</v>
      </c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Y329" s="27" t="s">
        <v>17</v>
      </c>
    </row>
    <row r="330" spans="1:25" ht="15" hidden="1" customHeight="1" x14ac:dyDescent="0.25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Y330" s="1">
        <v>1</v>
      </c>
    </row>
    <row r="331" spans="1:25" ht="15" hidden="1" customHeight="1" x14ac:dyDescent="0.25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Y331" s="1">
        <v>1</v>
      </c>
    </row>
    <row r="332" spans="1:25" ht="15" hidden="1" customHeight="1" x14ac:dyDescent="0.25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Y332" s="1">
        <v>1</v>
      </c>
    </row>
    <row r="333" spans="1:25" ht="15.75" thickBot="1" x14ac:dyDescent="0.3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Y333" s="1">
        <v>1</v>
      </c>
    </row>
    <row r="334" spans="1:25" ht="30" customHeight="1" x14ac:dyDescent="0.25">
      <c r="A334" s="37" t="s">
        <v>0</v>
      </c>
      <c r="B334" s="37" t="s">
        <v>8</v>
      </c>
      <c r="C334" s="39" t="s">
        <v>29</v>
      </c>
      <c r="D334" s="37" t="s">
        <v>28</v>
      </c>
      <c r="E334" s="37" t="s">
        <v>28</v>
      </c>
      <c r="F334" s="39" t="s">
        <v>33</v>
      </c>
      <c r="G334" s="39" t="s">
        <v>16</v>
      </c>
      <c r="H334" s="37" t="s">
        <v>9</v>
      </c>
      <c r="I334" s="39" t="s">
        <v>12</v>
      </c>
      <c r="J334" s="41" t="s">
        <v>1</v>
      </c>
      <c r="K334" s="41"/>
      <c r="L334" s="41"/>
      <c r="M334" s="37" t="s">
        <v>14</v>
      </c>
      <c r="N334" s="39" t="s">
        <v>18</v>
      </c>
      <c r="O334" s="39" t="s">
        <v>32</v>
      </c>
      <c r="P334" s="39" t="s">
        <v>21</v>
      </c>
      <c r="Q334" s="39" t="s">
        <v>30</v>
      </c>
      <c r="R334" s="39" t="s">
        <v>19</v>
      </c>
      <c r="S334" s="39" t="s">
        <v>25</v>
      </c>
      <c r="T334" s="41" t="s">
        <v>3</v>
      </c>
      <c r="U334" s="37" t="s">
        <v>4</v>
      </c>
      <c r="V334" s="37" t="s">
        <v>6</v>
      </c>
      <c r="W334" s="42" t="s">
        <v>15</v>
      </c>
      <c r="Y334" s="1">
        <v>1</v>
      </c>
    </row>
    <row r="335" spans="1:25" ht="30" customHeight="1" thickBot="1" x14ac:dyDescent="0.3">
      <c r="A335" s="38"/>
      <c r="B335" s="38"/>
      <c r="C335" s="40"/>
      <c r="D335" s="38"/>
      <c r="E335" s="38"/>
      <c r="F335" s="40"/>
      <c r="G335" s="40"/>
      <c r="H335" s="38"/>
      <c r="I335" s="40"/>
      <c r="J335" s="26" t="s">
        <v>26</v>
      </c>
      <c r="K335" s="26" t="s">
        <v>27</v>
      </c>
      <c r="L335" s="2" t="s">
        <v>2</v>
      </c>
      <c r="M335" s="38"/>
      <c r="N335" s="40"/>
      <c r="O335" s="40"/>
      <c r="P335" s="40"/>
      <c r="Q335" s="40"/>
      <c r="R335" s="40"/>
      <c r="S335" s="40"/>
      <c r="T335" s="46"/>
      <c r="U335" s="38"/>
      <c r="V335" s="38"/>
      <c r="W335" s="43"/>
      <c r="Y335" s="1">
        <v>1</v>
      </c>
    </row>
    <row r="336" spans="1:25" ht="15.75" outlineLevel="1" thickBot="1" x14ac:dyDescent="0.3">
      <c r="A336" s="12" t="s">
        <v>5</v>
      </c>
      <c r="B336" s="16"/>
      <c r="C336" s="30">
        <v>2</v>
      </c>
      <c r="D336" s="11">
        <v>8</v>
      </c>
      <c r="E336" s="11">
        <f>IF(D336="4.5 C", 4.5, IF(D336="4.8 C", 4.8, D336))</f>
        <v>8</v>
      </c>
      <c r="F336" s="11">
        <f t="shared" ref="F336:F351" si="169">IF(L336="Full", IF(Y336=1, E336*C336, E336), IF(L336="Gap", C336, E336))</f>
        <v>16</v>
      </c>
      <c r="G336" s="2">
        <f>VLOOKUP('930-4'!D336,Table1[],2,0)</f>
        <v>8.625</v>
      </c>
      <c r="H336" s="13">
        <f>G336*3.14*2.54</f>
        <v>68.789550000000006</v>
      </c>
      <c r="I336" s="2">
        <f>ROUNDUP(H336, 0)</f>
        <v>69</v>
      </c>
      <c r="J336" s="12">
        <v>40</v>
      </c>
      <c r="K336" s="12">
        <v>50</v>
      </c>
      <c r="L336" s="16" t="s">
        <v>13</v>
      </c>
      <c r="M336" s="14">
        <f t="shared" ref="M336:M351" si="170">IF(L336="Gap",C336, IF(E336&lt;=3, 3*C336, IF(L336="Full", C336*E336/Y336, IF(J336=K336,"Error", IF(K336&lt;J336, C336*(I336+K336-J336)*H336*E336/(3.14*2.54*I336*G336), C336*(K336-J336)*H336*E336/(3.14*2.54*I336*G336))))))</f>
        <v>16</v>
      </c>
      <c r="N336" s="15">
        <f t="shared" ref="N336:N351" si="171">IF(L336=0,IF(L335=0,IF(L334=0,IF(L333=0,IF(L332=0,IF(L331=0,IF(L330="Segment",M336,0),IF(L331="Segment",M336,0)),IF(L332="Segment",M336,0)),IF(L333="Segment",M336,0)),IF(L334="Segment",M336,0)),IF(L335="Segment",M336,0)),M336)</f>
        <v>16</v>
      </c>
      <c r="O336" s="15" t="str">
        <f t="shared" ref="O336:O351" si="172">IF(OR(T336="REJ",T336="NOT DONE-CONTRACTOR"), "YES", "NO")</f>
        <v>NO</v>
      </c>
      <c r="P336" s="25" t="str">
        <f>IF(L336&lt;&gt;0, IF(L336="Gap", O336, IF(L337&lt;&gt;0,  IF(O336="NO", "NO", "YES"), IF(L338&lt;&gt;0, IF(AND(O336="NO", O337="NO"), "NO", "YES"), IF(L339&lt;&gt;0, IF(AND(O336="NO", O337="NO", O338="NO"), "NO", "YES"), IF(AND(O336="NO", O337="NO", O338="NO", O339="NO"), "NO", "YES"))))))</f>
        <v>NO</v>
      </c>
      <c r="Q336" s="25">
        <f>IF(L336=0,0,IF(L337&lt;&gt;0,N336,IF(L338&lt;&gt;0,N336+N337,IF(L339&lt;&gt;0,N336+N337+N338,IF(L340&lt;&gt;0,N336+N337+N338+N339,IF(L341&lt;&gt;0,N336+N337+N338+N339+N340,N336+N337+N338+N339+N340+N341))))))</f>
        <v>16</v>
      </c>
      <c r="R336" s="25">
        <f t="shared" ref="R336:R351" si="173">IF(OR(T336="ACC", T336="REP", T336="RS", T336="RT"), N336, 0)</f>
        <v>16</v>
      </c>
      <c r="S336" s="25">
        <f t="shared" ref="S336:S348" si="174">IF(L336=0, 0, IF(L337&lt;&gt;0, R336, IF(L338&lt;&gt;0, R336+R337, IF(L339&lt;&gt;0, R336+R337+R338, IF(L340&lt;&gt;0, R336+R337+R338+R339, IF(L341&lt;&gt;0, R336+R337+R338+R339+R340, R336+R337+R338+R339+R340+R341))))))</f>
        <v>16</v>
      </c>
      <c r="T336" s="12" t="s">
        <v>7</v>
      </c>
      <c r="U336" s="12" t="s">
        <v>35</v>
      </c>
      <c r="V336" s="25">
        <f t="shared" ref="V336:V351" si="175">IF(OR(S336=0, P336=FALSE), 0, IF(AND(Q336&gt;3*C336, Q336&gt;F336), "Segment Error", IF(OR(P336="YES", L336="Gap"), S336, IF(E336&lt;3, S336, IF(S336&gt;F336/2, F336, F336/2)))))</f>
        <v>16</v>
      </c>
      <c r="W336" s="10">
        <f>V336*2400000</f>
        <v>38400000</v>
      </c>
      <c r="Y336" s="1">
        <f t="shared" ref="Y336:Y349" si="176">IF(L336="FULL",IF(L337=0,IF(L338=0,IF(L339=0,IF(L340=0,5,4),3),2),1),IF(L336=0,Y335,1))</f>
        <v>1</v>
      </c>
    </row>
    <row r="337" spans="1:25" ht="15.75" outlineLevel="1" thickBot="1" x14ac:dyDescent="0.3">
      <c r="A337" s="12" t="s">
        <v>5</v>
      </c>
      <c r="B337" s="16"/>
      <c r="C337" s="30">
        <v>1</v>
      </c>
      <c r="D337" s="11">
        <v>24</v>
      </c>
      <c r="E337" s="11">
        <f t="shared" ref="E337:E351" si="177">IF(D337="4.5 C", 4.5, IF(D337="4.8 C", 4.8, D337))</f>
        <v>24</v>
      </c>
      <c r="F337" s="11">
        <f t="shared" si="169"/>
        <v>24</v>
      </c>
      <c r="G337" s="2">
        <f>VLOOKUP('930-4'!D337,Table1[],2,0)</f>
        <v>24</v>
      </c>
      <c r="H337" s="13">
        <f t="shared" ref="H337:H351" si="178">G337*3.14*2.54</f>
        <v>191.4144</v>
      </c>
      <c r="I337" s="2">
        <f t="shared" ref="I337:I339" si="179">ROUNDUP(H337, 0)</f>
        <v>192</v>
      </c>
      <c r="J337" s="12">
        <v>4</v>
      </c>
      <c r="K337" s="12">
        <v>13</v>
      </c>
      <c r="L337" s="16" t="s">
        <v>13</v>
      </c>
      <c r="M337" s="14">
        <f t="shared" si="170"/>
        <v>24</v>
      </c>
      <c r="N337" s="15">
        <f t="shared" si="171"/>
        <v>24</v>
      </c>
      <c r="O337" s="15" t="str">
        <f t="shared" si="172"/>
        <v>NO</v>
      </c>
      <c r="P337" s="25" t="str">
        <f>IF(L337&lt;&gt;0, IF(L337="Gap", O337, IF(L338&lt;&gt;0,  IF(O337="NO", "NO", "YES"), IF(L339&lt;&gt;0, IF(AND(O337="NO", O338="NO"), "NO", "YES"), IF(L340&lt;&gt;0, IF(AND(O337="NO", O338="NO", O339="NO"), "NO", "YES"), IF(AND(O337="NO", O338="NO", O339="NO", O340="NO"), "NO", "YES"))))))</f>
        <v>NO</v>
      </c>
      <c r="Q337" s="25">
        <f t="shared" ref="Q337:Q348" si="180">IF(L337=0,0,IF(L338&lt;&gt;0,N337,IF(L339&lt;&gt;0,N337+N338,IF(L340&lt;&gt;0,N337+N338+N339,IF(L341&lt;&gt;0,N337+N338+N339+N340,IF(L342&lt;&gt;0,N337+N338+N339+N340+N341,N337+N338+N339+N340+N341+N342))))))</f>
        <v>24</v>
      </c>
      <c r="R337" s="25">
        <f t="shared" si="173"/>
        <v>24</v>
      </c>
      <c r="S337" s="25">
        <f t="shared" si="174"/>
        <v>24</v>
      </c>
      <c r="T337" s="12" t="s">
        <v>7</v>
      </c>
      <c r="U337" s="12" t="s">
        <v>35</v>
      </c>
      <c r="V337" s="25">
        <f t="shared" si="175"/>
        <v>24</v>
      </c>
      <c r="W337" s="10">
        <f t="shared" ref="W337:W351" si="181">V337*2400000</f>
        <v>57600000</v>
      </c>
      <c r="Y337" s="1">
        <f t="shared" si="176"/>
        <v>1</v>
      </c>
    </row>
    <row r="338" spans="1:25" ht="15.75" outlineLevel="1" thickBot="1" x14ac:dyDescent="0.3">
      <c r="A338" s="12" t="s">
        <v>5</v>
      </c>
      <c r="B338" s="16"/>
      <c r="C338" s="30">
        <v>1</v>
      </c>
      <c r="D338" s="11">
        <v>2</v>
      </c>
      <c r="E338" s="11">
        <f t="shared" si="177"/>
        <v>2</v>
      </c>
      <c r="F338" s="11">
        <f t="shared" si="169"/>
        <v>2</v>
      </c>
      <c r="G338" s="2">
        <f>VLOOKUP('930-4'!D338,Table1[],2,0)</f>
        <v>2.375</v>
      </c>
      <c r="H338" s="13">
        <f t="shared" si="178"/>
        <v>18.942050000000002</v>
      </c>
      <c r="I338" s="2">
        <f t="shared" si="179"/>
        <v>19</v>
      </c>
      <c r="J338" s="12">
        <v>4</v>
      </c>
      <c r="K338" s="12">
        <v>13</v>
      </c>
      <c r="L338" s="16" t="s">
        <v>13</v>
      </c>
      <c r="M338" s="14">
        <f t="shared" si="170"/>
        <v>3</v>
      </c>
      <c r="N338" s="15">
        <f t="shared" si="171"/>
        <v>3</v>
      </c>
      <c r="O338" s="15" t="str">
        <f t="shared" si="172"/>
        <v>NO</v>
      </c>
      <c r="P338" s="25" t="str">
        <f>IF(L338&lt;&gt;0, IF(L338="Gap", O338, IF(L339&lt;&gt;0,  IF(O338="NO", "NO", "YES"), IF(L340&lt;&gt;0, IF(AND(O338="NO", O339="NO"), "NO", "YES"), IF(L346&lt;&gt;0, IF(AND(O338="NO", O339="NO", O340="NO"), "NO", "YES"), IF(AND(O338="NO", O339="NO", O340="NO", O346="NO"), "NO", "YES"))))))</f>
        <v>NO</v>
      </c>
      <c r="Q338" s="25">
        <f t="shared" si="180"/>
        <v>3</v>
      </c>
      <c r="R338" s="25">
        <f t="shared" si="173"/>
        <v>3</v>
      </c>
      <c r="S338" s="25">
        <f t="shared" si="174"/>
        <v>3</v>
      </c>
      <c r="T338" s="12" t="s">
        <v>7</v>
      </c>
      <c r="U338" s="12" t="s">
        <v>35</v>
      </c>
      <c r="V338" s="25">
        <f t="shared" si="175"/>
        <v>3</v>
      </c>
      <c r="W338" s="10">
        <f t="shared" si="181"/>
        <v>7200000</v>
      </c>
      <c r="X338" s="33"/>
      <c r="Y338" s="1">
        <f t="shared" si="176"/>
        <v>1</v>
      </c>
    </row>
    <row r="339" spans="1:25" ht="15.75" outlineLevel="1" thickBot="1" x14ac:dyDescent="0.3">
      <c r="A339" s="12" t="s">
        <v>5</v>
      </c>
      <c r="B339" s="16"/>
      <c r="C339" s="30">
        <v>0</v>
      </c>
      <c r="D339" s="11">
        <v>2</v>
      </c>
      <c r="E339" s="11">
        <f t="shared" si="177"/>
        <v>2</v>
      </c>
      <c r="F339" s="11">
        <f t="shared" si="169"/>
        <v>0</v>
      </c>
      <c r="G339" s="2">
        <f>VLOOKUP('930-4'!D339,Table1[],2,0)</f>
        <v>2.375</v>
      </c>
      <c r="H339" s="13">
        <f t="shared" si="178"/>
        <v>18.942050000000002</v>
      </c>
      <c r="I339" s="2">
        <f t="shared" si="179"/>
        <v>19</v>
      </c>
      <c r="J339" s="12">
        <v>20</v>
      </c>
      <c r="K339" s="12">
        <v>40</v>
      </c>
      <c r="L339" s="16" t="s">
        <v>13</v>
      </c>
      <c r="M339" s="14">
        <f t="shared" si="170"/>
        <v>0</v>
      </c>
      <c r="N339" s="15">
        <f t="shared" si="171"/>
        <v>0</v>
      </c>
      <c r="O339" s="15" t="str">
        <f t="shared" si="172"/>
        <v>NO</v>
      </c>
      <c r="P339" s="25" t="str">
        <f>IF(L339&lt;&gt;0, IF(L339="Gap", O339, IF(L340&lt;&gt;0,  IF(O339="NO", "NO", "YES"), IF(L346&lt;&gt;0, IF(AND(O339="NO", O340="NO"), "NO", "YES"), IF(L347&lt;&gt;0, IF(AND(O339="NO", O340="NO", O346="NO"), "NO", "YES"), IF(AND(O339="NO", O340="NO", O346="NO", O347="NO"), "NO", "YES"))))))</f>
        <v>NO</v>
      </c>
      <c r="Q339" s="25">
        <f t="shared" si="180"/>
        <v>0</v>
      </c>
      <c r="R339" s="25">
        <f t="shared" si="173"/>
        <v>0</v>
      </c>
      <c r="S339" s="25">
        <f t="shared" si="174"/>
        <v>0</v>
      </c>
      <c r="T339" s="12" t="s">
        <v>7</v>
      </c>
      <c r="U339" s="12" t="s">
        <v>35</v>
      </c>
      <c r="V339" s="25">
        <f t="shared" si="175"/>
        <v>0</v>
      </c>
      <c r="W339" s="10">
        <f t="shared" si="181"/>
        <v>0</v>
      </c>
      <c r="Y339" s="1">
        <f t="shared" si="176"/>
        <v>1</v>
      </c>
    </row>
    <row r="340" spans="1:25" ht="15.75" outlineLevel="1" thickBot="1" x14ac:dyDescent="0.3">
      <c r="A340" s="12" t="s">
        <v>5</v>
      </c>
      <c r="B340" s="16"/>
      <c r="C340" s="30">
        <v>0</v>
      </c>
      <c r="D340" s="11">
        <v>28</v>
      </c>
      <c r="E340" s="11">
        <f t="shared" si="177"/>
        <v>28</v>
      </c>
      <c r="F340" s="11">
        <f t="shared" si="169"/>
        <v>0</v>
      </c>
      <c r="G340" s="2">
        <f>VLOOKUP('930-4'!D340,Table1[],2,0)</f>
        <v>28</v>
      </c>
      <c r="H340" s="13">
        <f t="shared" si="178"/>
        <v>223.3168</v>
      </c>
      <c r="I340" s="13">
        <f>ROUNDUP(H340, 0)</f>
        <v>224</v>
      </c>
      <c r="J340" s="12">
        <v>65</v>
      </c>
      <c r="K340" s="12">
        <v>85</v>
      </c>
      <c r="L340" s="16" t="s">
        <v>13</v>
      </c>
      <c r="M340" s="14">
        <f t="shared" si="170"/>
        <v>0</v>
      </c>
      <c r="N340" s="15">
        <f t="shared" si="171"/>
        <v>0</v>
      </c>
      <c r="O340" s="15" t="str">
        <f t="shared" si="172"/>
        <v>NO</v>
      </c>
      <c r="P340" s="25" t="str">
        <f>IF(L340&lt;&gt;0, IF(L340="Gap", O340, IF(L346&lt;&gt;0,  IF(O340="NO", "NO", "YES"), IF(L347&lt;&gt;0, IF(AND(O340="NO", O346="NO"), "NO", "YES"), IF(L348&lt;&gt;0, IF(AND(O340="NO", O346="NO", O347="NO"), "NO", "YES"), IF(AND(O340="NO", O346="NO", O347="NO", O348="NO"), "NO", "YES"))))))</f>
        <v>NO</v>
      </c>
      <c r="Q340" s="25">
        <f t="shared" si="180"/>
        <v>0</v>
      </c>
      <c r="R340" s="25">
        <f t="shared" si="173"/>
        <v>0</v>
      </c>
      <c r="S340" s="25">
        <f t="shared" si="174"/>
        <v>0</v>
      </c>
      <c r="T340" s="12" t="s">
        <v>7</v>
      </c>
      <c r="U340" s="12" t="s">
        <v>35</v>
      </c>
      <c r="V340" s="25">
        <f t="shared" si="175"/>
        <v>0</v>
      </c>
      <c r="W340" s="10">
        <f t="shared" si="181"/>
        <v>0</v>
      </c>
      <c r="Y340" s="1">
        <f t="shared" si="176"/>
        <v>1</v>
      </c>
    </row>
    <row r="341" spans="1:25" ht="15.75" outlineLevel="1" thickBot="1" x14ac:dyDescent="0.3">
      <c r="A341" s="12" t="s">
        <v>5</v>
      </c>
      <c r="B341" s="32"/>
      <c r="C341" s="30">
        <v>0</v>
      </c>
      <c r="D341" s="11">
        <v>10</v>
      </c>
      <c r="E341" s="11">
        <f t="shared" si="177"/>
        <v>10</v>
      </c>
      <c r="F341" s="11">
        <f t="shared" si="169"/>
        <v>0</v>
      </c>
      <c r="G341" s="2">
        <f>VLOOKUP('930-4'!D341,Table1[],2,0)</f>
        <v>10.75</v>
      </c>
      <c r="H341" s="13">
        <f t="shared" si="178"/>
        <v>85.737700000000004</v>
      </c>
      <c r="I341" s="2">
        <f t="shared" ref="I341:I351" si="182">ROUNDUP(H341, 0)</f>
        <v>86</v>
      </c>
      <c r="J341" s="12">
        <v>40</v>
      </c>
      <c r="K341" s="12">
        <v>125</v>
      </c>
      <c r="L341" s="16" t="s">
        <v>13</v>
      </c>
      <c r="M341" s="14">
        <f t="shared" si="170"/>
        <v>0</v>
      </c>
      <c r="N341" s="15">
        <f t="shared" si="171"/>
        <v>0</v>
      </c>
      <c r="O341" s="15" t="str">
        <f t="shared" si="172"/>
        <v>NO</v>
      </c>
      <c r="P341" s="25" t="str">
        <f>IF(L341&lt;&gt;0, IF(L341="Gap", O341, IF(L342&lt;&gt;0,  IF(O341="NO", "NO", "YES"), IF(L343&lt;&gt;0, IF(AND(O341="NO", O342="NO"), "NO", "YES"), IF(L344&lt;&gt;0, IF(AND(O341="NO", O342="NO", O343="NO"), "NO", "YES"), IF(AND(O341="NO", O342="NO", O343="NO", O344="NO"), "NO", "YES"))))))</f>
        <v>NO</v>
      </c>
      <c r="Q341" s="25">
        <f t="shared" si="180"/>
        <v>0</v>
      </c>
      <c r="R341" s="25">
        <f t="shared" si="173"/>
        <v>0</v>
      </c>
      <c r="S341" s="25">
        <f t="shared" si="174"/>
        <v>0</v>
      </c>
      <c r="T341" s="12" t="s">
        <v>7</v>
      </c>
      <c r="U341" s="12" t="s">
        <v>35</v>
      </c>
      <c r="V341" s="25">
        <f t="shared" si="175"/>
        <v>0</v>
      </c>
      <c r="W341" s="10">
        <f t="shared" si="181"/>
        <v>0</v>
      </c>
      <c r="Y341" s="1">
        <f t="shared" si="176"/>
        <v>1</v>
      </c>
    </row>
    <row r="342" spans="1:25" ht="15.75" outlineLevel="1" thickBot="1" x14ac:dyDescent="0.3">
      <c r="A342" s="12" t="s">
        <v>5</v>
      </c>
      <c r="B342" s="16"/>
      <c r="C342" s="30">
        <v>0</v>
      </c>
      <c r="D342" s="11">
        <v>6</v>
      </c>
      <c r="E342" s="11">
        <f t="shared" si="177"/>
        <v>6</v>
      </c>
      <c r="F342" s="11">
        <f t="shared" si="169"/>
        <v>6</v>
      </c>
      <c r="G342" s="2">
        <f>VLOOKUP('930-4'!D342,Table1[],2,0)</f>
        <v>6.625</v>
      </c>
      <c r="H342" s="13">
        <f t="shared" si="178"/>
        <v>52.838350000000005</v>
      </c>
      <c r="I342" s="2">
        <f t="shared" si="182"/>
        <v>53</v>
      </c>
      <c r="J342" s="12">
        <v>0</v>
      </c>
      <c r="K342" s="12">
        <v>53</v>
      </c>
      <c r="L342" s="16" t="s">
        <v>34</v>
      </c>
      <c r="M342" s="14">
        <f t="shared" si="170"/>
        <v>0</v>
      </c>
      <c r="N342" s="15">
        <f t="shared" si="171"/>
        <v>0</v>
      </c>
      <c r="O342" s="15" t="str">
        <f t="shared" si="172"/>
        <v>NO</v>
      </c>
      <c r="P342" s="25" t="str">
        <f>IF(L342&lt;&gt;0, IF(L342="Gap", O342, IF(L343&lt;&gt;0,  IF(O342="NO", "NO", "YES"), IF(L344&lt;&gt;0, IF(AND(O342="NO", O343="NO"), "NO", "YES"), IF(L346&lt;&gt;0, IF(AND(O342="NO", O343="NO", O344="NO"), "NO", "YES"), IF(AND(O342="NO", O343="NO", O344="NO", O346="NO"), "NO", "YES"))))))</f>
        <v>NO</v>
      </c>
      <c r="Q342" s="25">
        <f t="shared" si="180"/>
        <v>0</v>
      </c>
      <c r="R342" s="25">
        <f t="shared" si="173"/>
        <v>0</v>
      </c>
      <c r="S342" s="25">
        <f t="shared" si="174"/>
        <v>0</v>
      </c>
      <c r="T342" s="12" t="s">
        <v>7</v>
      </c>
      <c r="U342" s="12" t="s">
        <v>35</v>
      </c>
      <c r="V342" s="25">
        <f t="shared" si="175"/>
        <v>0</v>
      </c>
      <c r="W342" s="10">
        <f t="shared" si="181"/>
        <v>0</v>
      </c>
      <c r="Y342" s="1">
        <f t="shared" si="176"/>
        <v>1</v>
      </c>
    </row>
    <row r="343" spans="1:25" ht="15.75" outlineLevel="1" thickBot="1" x14ac:dyDescent="0.3">
      <c r="A343" s="12" t="s">
        <v>5</v>
      </c>
      <c r="B343" s="16"/>
      <c r="C343" s="30">
        <v>0</v>
      </c>
      <c r="D343" s="11">
        <v>0.75</v>
      </c>
      <c r="E343" s="11">
        <f t="shared" si="177"/>
        <v>0.75</v>
      </c>
      <c r="F343" s="11">
        <f t="shared" si="169"/>
        <v>0.75</v>
      </c>
      <c r="G343" s="2">
        <f>VLOOKUP('930-4'!D343,Table1[],2,0)</f>
        <v>1.05</v>
      </c>
      <c r="H343" s="13">
        <f t="shared" si="178"/>
        <v>8.3743800000000004</v>
      </c>
      <c r="I343" s="2">
        <f t="shared" si="182"/>
        <v>9</v>
      </c>
      <c r="J343" s="12">
        <v>40</v>
      </c>
      <c r="K343" s="12">
        <v>45</v>
      </c>
      <c r="L343" s="34" t="s">
        <v>34</v>
      </c>
      <c r="M343" s="14">
        <f t="shared" si="170"/>
        <v>0</v>
      </c>
      <c r="N343" s="15">
        <f t="shared" si="171"/>
        <v>0</v>
      </c>
      <c r="O343" s="15" t="str">
        <f t="shared" si="172"/>
        <v>NO</v>
      </c>
      <c r="P343" s="25" t="str">
        <f>IF(L343&lt;&gt;0, IF(L343="Gap", O343, IF(L344&lt;&gt;0,  IF(O343="NO", "NO", "YES"), IF(L346&lt;&gt;0, IF(AND(O343="NO", O344="NO"), "NO", "YES"), IF(L347&lt;&gt;0, IF(AND(O343="NO", O344="NO", O346="NO"), "NO", "YES"), IF(AND(O343="NO", O344="NO", O346="NO", O347="NO"), "NO", "YES"))))))</f>
        <v>NO</v>
      </c>
      <c r="Q343" s="25">
        <f t="shared" si="180"/>
        <v>0</v>
      </c>
      <c r="R343" s="25">
        <f t="shared" si="173"/>
        <v>0</v>
      </c>
      <c r="S343" s="25">
        <f t="shared" si="174"/>
        <v>0</v>
      </c>
      <c r="T343" s="12" t="s">
        <v>7</v>
      </c>
      <c r="U343" s="12" t="s">
        <v>35</v>
      </c>
      <c r="V343" s="25">
        <f t="shared" si="175"/>
        <v>0</v>
      </c>
      <c r="W343" s="10">
        <f t="shared" si="181"/>
        <v>0</v>
      </c>
      <c r="Y343" s="1">
        <f t="shared" si="176"/>
        <v>1</v>
      </c>
    </row>
    <row r="344" spans="1:25" ht="15.75" outlineLevel="1" thickBot="1" x14ac:dyDescent="0.3">
      <c r="A344" s="16" t="s">
        <v>5</v>
      </c>
      <c r="B344" s="16"/>
      <c r="C344" s="30">
        <v>0</v>
      </c>
      <c r="D344" s="17">
        <v>18</v>
      </c>
      <c r="E344" s="11">
        <f t="shared" si="177"/>
        <v>18</v>
      </c>
      <c r="F344" s="11">
        <f t="shared" si="169"/>
        <v>18</v>
      </c>
      <c r="G344" s="2">
        <f>VLOOKUP('930-4'!D344,Table1[],2,0)</f>
        <v>18</v>
      </c>
      <c r="H344" s="19">
        <f t="shared" si="178"/>
        <v>143.5608</v>
      </c>
      <c r="I344" s="18">
        <f t="shared" si="182"/>
        <v>144</v>
      </c>
      <c r="J344" s="12">
        <v>40</v>
      </c>
      <c r="K344" s="12">
        <v>10</v>
      </c>
      <c r="L344" s="35"/>
      <c r="M344" s="14">
        <f t="shared" si="170"/>
        <v>0</v>
      </c>
      <c r="N344" s="15">
        <f t="shared" si="171"/>
        <v>0</v>
      </c>
      <c r="O344" s="15" t="str">
        <f t="shared" si="172"/>
        <v>NO</v>
      </c>
      <c r="P344" s="25" t="b">
        <f>IF(L344&lt;&gt;0, IF(L344="Gap", O344, IF(L346&lt;&gt;0,  IF(O344="NO", "NO", "YES"), IF(L347&lt;&gt;0, IF(AND(O344="NO", O346="NO"), "NO", "YES"), IF(L348&lt;&gt;0, IF(AND(O344="NO", O346="NO", O347="NO"), "NO", "YES"), IF(AND(O344="NO", O346="NO", O347="NO", O348="NO"), "NO", "YES"))))))</f>
        <v>0</v>
      </c>
      <c r="Q344" s="25">
        <f t="shared" si="180"/>
        <v>0</v>
      </c>
      <c r="R344" s="25">
        <f t="shared" si="173"/>
        <v>0</v>
      </c>
      <c r="S344" s="25">
        <f t="shared" si="174"/>
        <v>0</v>
      </c>
      <c r="T344" s="12" t="s">
        <v>7</v>
      </c>
      <c r="U344" s="12" t="s">
        <v>35</v>
      </c>
      <c r="V344" s="25">
        <f t="shared" si="175"/>
        <v>0</v>
      </c>
      <c r="W344" s="10">
        <f t="shared" si="181"/>
        <v>0</v>
      </c>
      <c r="Y344" s="1">
        <f t="shared" si="176"/>
        <v>1</v>
      </c>
    </row>
    <row r="345" spans="1:25" ht="15.75" outlineLevel="1" thickBot="1" x14ac:dyDescent="0.3">
      <c r="A345" s="12" t="s">
        <v>5</v>
      </c>
      <c r="B345" s="16"/>
      <c r="C345" s="30">
        <v>0</v>
      </c>
      <c r="D345" s="11">
        <v>10</v>
      </c>
      <c r="E345" s="11">
        <f t="shared" si="177"/>
        <v>10</v>
      </c>
      <c r="F345" s="11">
        <f t="shared" si="169"/>
        <v>0</v>
      </c>
      <c r="G345" s="2">
        <f>VLOOKUP('930-4'!D345,Table1[],2,0)</f>
        <v>10.75</v>
      </c>
      <c r="H345" s="13">
        <f t="shared" si="178"/>
        <v>85.737700000000004</v>
      </c>
      <c r="I345" s="2">
        <f t="shared" si="182"/>
        <v>86</v>
      </c>
      <c r="J345" s="12">
        <v>40</v>
      </c>
      <c r="K345" s="12">
        <v>35</v>
      </c>
      <c r="L345" s="16" t="s">
        <v>13</v>
      </c>
      <c r="M345" s="14">
        <f t="shared" si="170"/>
        <v>0</v>
      </c>
      <c r="N345" s="15">
        <f t="shared" si="171"/>
        <v>0</v>
      </c>
      <c r="O345" s="15" t="str">
        <f t="shared" si="172"/>
        <v>NO</v>
      </c>
      <c r="P345" s="25" t="str">
        <f>IF(L345&lt;&gt;0, IF(L345="Gap", O345, IF(L351&lt;&gt;0,  IF(O345="NO", "NO", "YES"), IF(L352&lt;&gt;0, IF(AND(O345="NO", O351="NO"), "NO", "YES"), IF(L353&lt;&gt;0, IF(AND(O345="NO", O351="NO", O352="NO"), "NO", "YES"), IF(AND(O345="NO", O351="NO", O352="NO", O353="NO"), "NO", "YES"))))))</f>
        <v>NO</v>
      </c>
      <c r="Q345" s="25">
        <f t="shared" si="180"/>
        <v>0</v>
      </c>
      <c r="R345" s="25">
        <f t="shared" si="173"/>
        <v>0</v>
      </c>
      <c r="S345" s="25">
        <f t="shared" si="174"/>
        <v>0</v>
      </c>
      <c r="T345" s="12" t="s">
        <v>7</v>
      </c>
      <c r="U345" s="12" t="s">
        <v>35</v>
      </c>
      <c r="V345" s="25">
        <f t="shared" si="175"/>
        <v>0</v>
      </c>
      <c r="W345" s="10">
        <f t="shared" si="181"/>
        <v>0</v>
      </c>
      <c r="Y345" s="1">
        <f t="shared" si="176"/>
        <v>1</v>
      </c>
    </row>
    <row r="346" spans="1:25" ht="15.75" outlineLevel="1" thickBot="1" x14ac:dyDescent="0.3">
      <c r="A346" s="12" t="s">
        <v>5</v>
      </c>
      <c r="B346" s="32"/>
      <c r="C346" s="30">
        <v>1</v>
      </c>
      <c r="D346" s="11">
        <v>0.75</v>
      </c>
      <c r="E346" s="11">
        <f t="shared" si="177"/>
        <v>0.75</v>
      </c>
      <c r="F346" s="11">
        <f t="shared" si="169"/>
        <v>0.75</v>
      </c>
      <c r="G346" s="2">
        <f>VLOOKUP('930-4'!D346,Table1[],2,0)</f>
        <v>1.05</v>
      </c>
      <c r="H346" s="13">
        <f t="shared" si="178"/>
        <v>8.3743800000000004</v>
      </c>
      <c r="I346" s="2">
        <f t="shared" si="182"/>
        <v>9</v>
      </c>
      <c r="J346" s="12">
        <v>40</v>
      </c>
      <c r="K346" s="12">
        <v>50</v>
      </c>
      <c r="L346" s="34" t="s">
        <v>13</v>
      </c>
      <c r="M346" s="14">
        <f t="shared" si="170"/>
        <v>3</v>
      </c>
      <c r="N346" s="15">
        <f t="shared" si="171"/>
        <v>3</v>
      </c>
      <c r="O346" s="15" t="str">
        <f t="shared" si="172"/>
        <v>NO</v>
      </c>
      <c r="P346" s="25" t="str">
        <f>IF(L346&lt;&gt;0, IF(L346="Gap", O346, IF(L347&lt;&gt;0,  IF(O346="NO", "NO", "YES"), IF(L348&lt;&gt;0, IF(AND(O346="NO", O347="NO"), "NO", "YES"), IF(L349&lt;&gt;0, IF(AND(O346="NO", O347="NO", O348="NO"), "NO", "YES"), IF(AND(O346="NO", O347="NO", O348="NO", O349="NO"), "NO", "YES"))))))</f>
        <v>NO</v>
      </c>
      <c r="Q346" s="25">
        <f t="shared" si="180"/>
        <v>3</v>
      </c>
      <c r="R346" s="25">
        <f t="shared" si="173"/>
        <v>3</v>
      </c>
      <c r="S346" s="25">
        <f t="shared" si="174"/>
        <v>3</v>
      </c>
      <c r="T346" s="12" t="s">
        <v>7</v>
      </c>
      <c r="U346" s="12" t="s">
        <v>35</v>
      </c>
      <c r="V346" s="25">
        <f t="shared" si="175"/>
        <v>3</v>
      </c>
      <c r="W346" s="10">
        <f t="shared" si="181"/>
        <v>7200000</v>
      </c>
      <c r="Y346" s="1">
        <f t="shared" si="176"/>
        <v>2</v>
      </c>
    </row>
    <row r="347" spans="1:25" ht="15.75" outlineLevel="1" thickBot="1" x14ac:dyDescent="0.3">
      <c r="A347" s="12" t="s">
        <v>5</v>
      </c>
      <c r="B347" s="16"/>
      <c r="C347" s="30">
        <v>0</v>
      </c>
      <c r="D347" s="11">
        <v>10</v>
      </c>
      <c r="E347" s="11">
        <f t="shared" si="177"/>
        <v>10</v>
      </c>
      <c r="F347" s="11">
        <f t="shared" si="169"/>
        <v>10</v>
      </c>
      <c r="G347" s="2">
        <f>VLOOKUP('930-4'!D347,Table1[],2,0)</f>
        <v>10.75</v>
      </c>
      <c r="H347" s="13">
        <f t="shared" si="178"/>
        <v>85.737700000000004</v>
      </c>
      <c r="I347" s="2">
        <f t="shared" si="182"/>
        <v>86</v>
      </c>
      <c r="J347" s="12">
        <v>40</v>
      </c>
      <c r="K347" s="12">
        <v>80</v>
      </c>
      <c r="L347" s="35"/>
      <c r="M347" s="14">
        <f t="shared" si="170"/>
        <v>0</v>
      </c>
      <c r="N347" s="15">
        <f t="shared" si="171"/>
        <v>0</v>
      </c>
      <c r="O347" s="15" t="str">
        <f t="shared" si="172"/>
        <v>NO</v>
      </c>
      <c r="P347" s="25" t="b">
        <f>IF(L347&lt;&gt;0, IF(L347="Gap", O347, IF(L348&lt;&gt;0,  IF(O347="NO", "NO", "YES"), IF(L349&lt;&gt;0, IF(AND(O347="NO", O348="NO"), "NO", "YES"), IF(L351&lt;&gt;0, IF(AND(O347="NO", O348="NO", O349="NO"), "NO", "YES"), IF(AND(O347="NO", O348="NO", O349="NO", O351="NO"), "NO", "YES"))))))</f>
        <v>0</v>
      </c>
      <c r="Q347" s="25">
        <f t="shared" si="180"/>
        <v>0</v>
      </c>
      <c r="R347" s="25">
        <f t="shared" si="173"/>
        <v>0</v>
      </c>
      <c r="S347" s="25">
        <f t="shared" si="174"/>
        <v>0</v>
      </c>
      <c r="T347" s="12" t="s">
        <v>7</v>
      </c>
      <c r="U347" s="12" t="s">
        <v>35</v>
      </c>
      <c r="V347" s="25">
        <f t="shared" si="175"/>
        <v>0</v>
      </c>
      <c r="W347" s="10">
        <f t="shared" si="181"/>
        <v>0</v>
      </c>
      <c r="Y347" s="1">
        <f t="shared" si="176"/>
        <v>2</v>
      </c>
    </row>
    <row r="348" spans="1:25" ht="15.75" outlineLevel="1" thickBot="1" x14ac:dyDescent="0.3">
      <c r="A348" s="12" t="s">
        <v>5</v>
      </c>
      <c r="B348" s="16"/>
      <c r="C348" s="30">
        <v>0</v>
      </c>
      <c r="D348" s="11">
        <v>10</v>
      </c>
      <c r="E348" s="11">
        <f t="shared" si="177"/>
        <v>10</v>
      </c>
      <c r="F348" s="11">
        <f t="shared" si="169"/>
        <v>10</v>
      </c>
      <c r="G348" s="2">
        <f>VLOOKUP('930-4'!D348,Table1[],2,0)</f>
        <v>10.75</v>
      </c>
      <c r="H348" s="13">
        <f t="shared" si="178"/>
        <v>85.737700000000004</v>
      </c>
      <c r="I348" s="2">
        <f t="shared" si="182"/>
        <v>86</v>
      </c>
      <c r="J348" s="12">
        <v>40</v>
      </c>
      <c r="K348" s="12">
        <v>55</v>
      </c>
      <c r="L348" s="34" t="s">
        <v>34</v>
      </c>
      <c r="M348" s="14">
        <f t="shared" si="170"/>
        <v>0</v>
      </c>
      <c r="N348" s="15">
        <f t="shared" si="171"/>
        <v>0</v>
      </c>
      <c r="O348" s="15" t="str">
        <f t="shared" si="172"/>
        <v>NO</v>
      </c>
      <c r="P348" s="25" t="str">
        <f>IF(L348&lt;&gt;0, IF(L348="Gap", O348, IF(L349&lt;&gt;0,  IF(O348="NO", "NO", "YES"), IF(L351&lt;&gt;0, IF(AND(O348="NO", O349="NO"), "NO", "YES"), IF(L352&lt;&gt;0, IF(AND(O348="NO", O349="NO", O351="NO"), "NO", "YES"), IF(AND(O348="NO", O349="NO", O351="NO", O352="NO"), "NO", "YES"))))))</f>
        <v>NO</v>
      </c>
      <c r="Q348" s="25">
        <f t="shared" si="180"/>
        <v>0</v>
      </c>
      <c r="R348" s="25">
        <f t="shared" si="173"/>
        <v>0</v>
      </c>
      <c r="S348" s="25">
        <f t="shared" si="174"/>
        <v>0</v>
      </c>
      <c r="T348" s="12" t="s">
        <v>7</v>
      </c>
      <c r="U348" s="12" t="s">
        <v>35</v>
      </c>
      <c r="V348" s="25">
        <f t="shared" si="175"/>
        <v>0</v>
      </c>
      <c r="W348" s="10">
        <f t="shared" si="181"/>
        <v>0</v>
      </c>
      <c r="Y348" s="1">
        <f t="shared" si="176"/>
        <v>1</v>
      </c>
    </row>
    <row r="349" spans="1:25" ht="15.75" outlineLevel="1" thickBot="1" x14ac:dyDescent="0.3">
      <c r="A349" s="16" t="s">
        <v>5</v>
      </c>
      <c r="B349" s="16"/>
      <c r="C349" s="30">
        <v>0</v>
      </c>
      <c r="D349" s="17">
        <v>10</v>
      </c>
      <c r="E349" s="11">
        <f t="shared" si="177"/>
        <v>10</v>
      </c>
      <c r="F349" s="11">
        <f t="shared" si="169"/>
        <v>10</v>
      </c>
      <c r="G349" s="2">
        <f>VLOOKUP('930-4'!D349,Table1[],2,0)</f>
        <v>10.75</v>
      </c>
      <c r="H349" s="19">
        <f t="shared" si="178"/>
        <v>85.737700000000004</v>
      </c>
      <c r="I349" s="18">
        <f t="shared" si="182"/>
        <v>86</v>
      </c>
      <c r="J349" s="12">
        <v>40</v>
      </c>
      <c r="K349" s="12">
        <v>75</v>
      </c>
      <c r="L349" s="35"/>
      <c r="M349" s="14">
        <f t="shared" si="170"/>
        <v>0</v>
      </c>
      <c r="N349" s="15">
        <f t="shared" si="171"/>
        <v>0</v>
      </c>
      <c r="O349" s="15" t="str">
        <f t="shared" si="172"/>
        <v>NO</v>
      </c>
      <c r="P349" s="25" t="b">
        <f>IF(L349&lt;&gt;0, IF(L349="Gap", O349, IF(L351&lt;&gt;0,  IF(O349="NO", "NO", "YES"), IF(L352&lt;&gt;0, IF(AND(O349="NO", O351="NO"), "NO", "YES"), IF(L353&lt;&gt;0, IF(AND(O349="NO", O351="NO", O352="NO"), "NO", "YES"), IF(AND(O349="NO", O351="NO", O352="NO", O353="NO"), "NO", "YES"))))))</f>
        <v>0</v>
      </c>
      <c r="Q349" s="25">
        <f>IF(L349=0,0,IF(L350&lt;&gt;0,N349,IF(L351&lt;&gt;0,N349+N350,IF(L352&lt;&gt;0,N349+N350+N351,IF(L353&lt;&gt;0,N349+N350+N351+N352,IF(#REF!&lt;&gt;0,N349+N350+N351+N352+N353,N349+N350+N351+N352+N353+#REF!))))))</f>
        <v>0</v>
      </c>
      <c r="R349" s="25">
        <f t="shared" si="173"/>
        <v>0</v>
      </c>
      <c r="S349" s="25">
        <f>IF(L349=0, 0, IF(L350&lt;&gt;0, R349, IF(L351&lt;&gt;0, R349+R350, IF(L352&lt;&gt;0, R349+R350+R351, IF(L353&lt;&gt;0, R349+R350+R351+R352, IF(#REF!&lt;&gt;0, R349+R350+R351+R352+R353, R349+R350+R351+R352+R353+#REF!))))))</f>
        <v>0</v>
      </c>
      <c r="T349" s="12" t="s">
        <v>7</v>
      </c>
      <c r="U349" s="12" t="s">
        <v>35</v>
      </c>
      <c r="V349" s="25">
        <f t="shared" si="175"/>
        <v>0</v>
      </c>
      <c r="W349" s="10">
        <f t="shared" si="181"/>
        <v>0</v>
      </c>
      <c r="Y349" s="1">
        <f t="shared" si="176"/>
        <v>1</v>
      </c>
    </row>
    <row r="350" spans="1:25" ht="15.75" outlineLevel="1" thickBot="1" x14ac:dyDescent="0.3">
      <c r="A350" s="16"/>
      <c r="B350" s="16"/>
      <c r="C350" s="30">
        <v>0</v>
      </c>
      <c r="D350" s="17">
        <v>10</v>
      </c>
      <c r="E350" s="11">
        <f t="shared" si="177"/>
        <v>10</v>
      </c>
      <c r="F350" s="11">
        <f t="shared" si="169"/>
        <v>0</v>
      </c>
      <c r="G350" s="2">
        <f>VLOOKUP('930-4'!D350,Table1[],2,0)</f>
        <v>10.75</v>
      </c>
      <c r="H350" s="19">
        <f t="shared" si="178"/>
        <v>85.737700000000004</v>
      </c>
      <c r="I350" s="18">
        <f t="shared" si="182"/>
        <v>86</v>
      </c>
      <c r="J350" s="12">
        <v>40</v>
      </c>
      <c r="K350" s="12">
        <v>45</v>
      </c>
      <c r="L350" s="16" t="s">
        <v>13</v>
      </c>
      <c r="M350" s="14">
        <f t="shared" si="170"/>
        <v>0</v>
      </c>
      <c r="N350" s="15">
        <f t="shared" si="171"/>
        <v>0</v>
      </c>
      <c r="O350" s="15" t="str">
        <f t="shared" si="172"/>
        <v>NO</v>
      </c>
      <c r="P350" s="25" t="str">
        <f>IF(L350&lt;&gt;0, IF(L350="Gap", O350, IF(L351&lt;&gt;0,  IF(O350="NO", "NO", "YES"), IF(L352&lt;&gt;0, IF(AND(O350="NO", O351="NO"), "NO", "YES"), IF(L353&lt;&gt;0, IF(AND(O350="NO", O351="NO", O352="NO"), "NO", "YES"), IF(AND(O350="NO", O351="NO", O352="NO", O353="NO"), "NO", "YES"))))))</f>
        <v>NO</v>
      </c>
      <c r="Q350" s="25">
        <f>IF(L350=0,0,IF(L351&lt;&gt;0,N350,IF(L352&lt;&gt;0,N350+N351,IF(L353&lt;&gt;0,N350+N351+N352,IF(#REF!&lt;&gt;0,N350+N351+N352+N353,IF(#REF!&lt;&gt;0,N350+N351+N352+N353+#REF!,N350+N351+N352+N353+#REF!+#REF!))))))</f>
        <v>0</v>
      </c>
      <c r="R350" s="25">
        <f t="shared" si="173"/>
        <v>0</v>
      </c>
      <c r="S350" s="25">
        <f>IF(L350=0, 0, IF(L351&lt;&gt;0, R350, IF(L352&lt;&gt;0, R350+R351, IF(L353&lt;&gt;0, R350+R351+R352, IF(#REF!&lt;&gt;0, R350+R351+R352+R353, IF(#REF!&lt;&gt;0, R350+R351+R352+R353+#REF!, R350+R351+R352+R353+#REF!+#REF!))))))</f>
        <v>0</v>
      </c>
      <c r="T350" s="12" t="s">
        <v>7</v>
      </c>
      <c r="U350" s="12" t="s">
        <v>35</v>
      </c>
      <c r="V350" s="25">
        <f t="shared" si="175"/>
        <v>0</v>
      </c>
      <c r="W350" s="10">
        <f t="shared" si="181"/>
        <v>0</v>
      </c>
      <c r="Y350" s="1">
        <f>IF(L350="FULL",IF(L351=0,IF(L352=0,IF(L353=0,IF(#REF!=0,5,4),3),2),1),IF(L350=0,Y349,1))</f>
        <v>1</v>
      </c>
    </row>
    <row r="351" spans="1:25" outlineLevel="1" x14ac:dyDescent="0.25">
      <c r="A351" s="16"/>
      <c r="B351" s="16"/>
      <c r="C351" s="30">
        <v>0</v>
      </c>
      <c r="D351" s="17">
        <v>2</v>
      </c>
      <c r="E351" s="11">
        <f t="shared" si="177"/>
        <v>2</v>
      </c>
      <c r="F351" s="11">
        <f t="shared" si="169"/>
        <v>0</v>
      </c>
      <c r="G351" s="2">
        <f>VLOOKUP('930-4'!D351,Table1[],2,0)</f>
        <v>2.375</v>
      </c>
      <c r="H351" s="19">
        <f t="shared" si="178"/>
        <v>18.942050000000002</v>
      </c>
      <c r="I351" s="18">
        <f t="shared" si="182"/>
        <v>19</v>
      </c>
      <c r="J351" s="12">
        <v>40</v>
      </c>
      <c r="K351" s="12">
        <v>45</v>
      </c>
      <c r="L351" s="16" t="s">
        <v>13</v>
      </c>
      <c r="M351" s="14">
        <f t="shared" si="170"/>
        <v>0</v>
      </c>
      <c r="N351" s="15">
        <f t="shared" si="171"/>
        <v>0</v>
      </c>
      <c r="O351" s="15" t="str">
        <f t="shared" si="172"/>
        <v>NO</v>
      </c>
      <c r="P351" s="25" t="str">
        <f>IF(L351&lt;&gt;0, IF(L351="Gap", O351, IF(L352&lt;&gt;0,  IF(O351="NO", "NO", "YES"), IF(L353&lt;&gt;0, IF(AND(O351="NO", O352="NO"), "NO", "YES"), IF(#REF!&lt;&gt;0, IF(AND(O351="NO", O352="NO", O353="NO"), "NO", "YES"), IF(AND(O351="NO", O352="NO", O353="NO",#REF!= "NO"), "NO", "YES"))))))</f>
        <v>NO</v>
      </c>
      <c r="Q351" s="25">
        <f>IF(L351=0,0,IF(L352&lt;&gt;0,N351,IF(L353&lt;&gt;0,N351+N352,IF(#REF!&lt;&gt;0,N351+N352+N353,IF(#REF!&lt;&gt;0,N351+N352+N353+#REF!,IF(#REF!&lt;&gt;0,N351+N352+N353+#REF!+#REF!,N351+N352+N353+#REF!+#REF!+#REF!))))))</f>
        <v>0</v>
      </c>
      <c r="R351" s="25">
        <f t="shared" si="173"/>
        <v>0</v>
      </c>
      <c r="S351" s="25">
        <f>IF(L351=0, 0, IF(L352&lt;&gt;0, R351, IF(L353&lt;&gt;0, R351+R352, IF(#REF!&lt;&gt;0, R351+R352+R353, IF(#REF!&lt;&gt;0, R351+R352+R353+#REF!, IF(#REF!&lt;&gt;0, R351+R352+R353+#REF!+#REF!, R351+R352+R353+#REF!+#REF!+#REF!))))))</f>
        <v>0</v>
      </c>
      <c r="T351" s="12" t="s">
        <v>7</v>
      </c>
      <c r="U351" s="12" t="s">
        <v>35</v>
      </c>
      <c r="V351" s="25">
        <f t="shared" si="175"/>
        <v>0</v>
      </c>
      <c r="W351" s="10">
        <f t="shared" si="181"/>
        <v>0</v>
      </c>
      <c r="Y351" s="1">
        <f>IF(L351="FULL",IF(L352=0,IF(L353=0,IF(#REF!=0,IF(#REF!=0,5,4),3),2),1),IF(L351=0,Y350,1))</f>
        <v>1</v>
      </c>
    </row>
    <row r="352" spans="1:25" ht="15" customHeight="1" outlineLevel="1" x14ac:dyDescent="0.25">
      <c r="A352" s="29" t="s">
        <v>20</v>
      </c>
      <c r="B352" s="29" t="s">
        <v>20</v>
      </c>
      <c r="C352" s="29" t="s">
        <v>20</v>
      </c>
      <c r="D352" s="29" t="s">
        <v>20</v>
      </c>
      <c r="E352" s="29" t="s">
        <v>20</v>
      </c>
      <c r="F352" s="29"/>
      <c r="G352" s="29" t="s">
        <v>20</v>
      </c>
      <c r="H352" s="29" t="s">
        <v>20</v>
      </c>
      <c r="I352" s="29" t="s">
        <v>20</v>
      </c>
      <c r="J352" s="29" t="s">
        <v>20</v>
      </c>
      <c r="K352" s="29" t="s">
        <v>20</v>
      </c>
      <c r="L352" s="29" t="s">
        <v>20</v>
      </c>
      <c r="M352" s="29" t="s">
        <v>20</v>
      </c>
      <c r="N352" s="29" t="s">
        <v>20</v>
      </c>
      <c r="O352" s="29" t="s">
        <v>20</v>
      </c>
      <c r="P352" s="29" t="s">
        <v>20</v>
      </c>
      <c r="Q352" s="29" t="s">
        <v>20</v>
      </c>
      <c r="R352" s="29" t="s">
        <v>20</v>
      </c>
      <c r="S352" s="29" t="s">
        <v>20</v>
      </c>
      <c r="T352" s="29" t="s">
        <v>20</v>
      </c>
      <c r="U352" s="29" t="s">
        <v>20</v>
      </c>
      <c r="V352" s="29" t="s">
        <v>20</v>
      </c>
      <c r="W352" s="29" t="s">
        <v>20</v>
      </c>
      <c r="Y352" s="1">
        <f>IF(L352="FULL",IF(L353=0,IF(#REF!=0,IF(#REF!=0,IF(#REF!=0,5,4),3),2),1),IF(L352=0,Y351,1))</f>
        <v>1</v>
      </c>
    </row>
    <row r="353" spans="1:25" ht="15.75" thickBot="1" x14ac:dyDescent="0.3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21"/>
      <c r="N353" s="21"/>
      <c r="O353" s="21"/>
      <c r="P353" s="21"/>
      <c r="Q353" s="31">
        <f>SUM(Q336:Q351)</f>
        <v>46</v>
      </c>
      <c r="R353" s="31"/>
      <c r="S353" s="31">
        <f>SUM(R336:R351)</f>
        <v>46</v>
      </c>
      <c r="T353" s="31"/>
      <c r="U353" s="20"/>
      <c r="V353" s="21">
        <f>IF(COUNTIF(V336:V351,  "Segment Error")=0, IF(AND(SUM(V336:V351)&lt;50, COUNTIF(P336:P351, "YES")=0), 50, SUM(V336:V351)), "Segment Error")</f>
        <v>50</v>
      </c>
      <c r="W353" s="22">
        <f>V353*2400000</f>
        <v>120000000</v>
      </c>
      <c r="Y353" s="1">
        <f>IF(L353="FULL",IF(#REF!=0,IF(#REF!=0,IF(#REF!=0,IF(#REF!=0,5,4),3),2),1),IF(L353=0,Y352,1))</f>
        <v>1</v>
      </c>
    </row>
    <row r="354" spans="1:25" ht="27" customHeight="1" x14ac:dyDescent="0.25">
      <c r="A354" s="44" t="s">
        <v>52</v>
      </c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Y354" s="27" t="s">
        <v>17</v>
      </c>
    </row>
    <row r="355" spans="1:25" ht="15" hidden="1" customHeight="1" x14ac:dyDescent="0.25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Y355" s="1">
        <v>1</v>
      </c>
    </row>
    <row r="356" spans="1:25" ht="15" hidden="1" customHeight="1" x14ac:dyDescent="0.25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Y356" s="1">
        <v>1</v>
      </c>
    </row>
    <row r="357" spans="1:25" ht="15" hidden="1" customHeight="1" x14ac:dyDescent="0.25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Y357" s="1">
        <v>1</v>
      </c>
    </row>
    <row r="358" spans="1:25" ht="15.75" thickBot="1" x14ac:dyDescent="0.3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Y358" s="1">
        <v>1</v>
      </c>
    </row>
    <row r="359" spans="1:25" ht="30" customHeight="1" x14ac:dyDescent="0.25">
      <c r="A359" s="37" t="s">
        <v>0</v>
      </c>
      <c r="B359" s="37" t="s">
        <v>8</v>
      </c>
      <c r="C359" s="39" t="s">
        <v>29</v>
      </c>
      <c r="D359" s="37" t="s">
        <v>28</v>
      </c>
      <c r="E359" s="37" t="s">
        <v>28</v>
      </c>
      <c r="F359" s="39" t="s">
        <v>33</v>
      </c>
      <c r="G359" s="39" t="s">
        <v>16</v>
      </c>
      <c r="H359" s="37" t="s">
        <v>9</v>
      </c>
      <c r="I359" s="39" t="s">
        <v>12</v>
      </c>
      <c r="J359" s="41" t="s">
        <v>1</v>
      </c>
      <c r="K359" s="41"/>
      <c r="L359" s="41"/>
      <c r="M359" s="37" t="s">
        <v>14</v>
      </c>
      <c r="N359" s="39" t="s">
        <v>18</v>
      </c>
      <c r="O359" s="39" t="s">
        <v>32</v>
      </c>
      <c r="P359" s="39" t="s">
        <v>21</v>
      </c>
      <c r="Q359" s="39" t="s">
        <v>30</v>
      </c>
      <c r="R359" s="39" t="s">
        <v>19</v>
      </c>
      <c r="S359" s="39" t="s">
        <v>25</v>
      </c>
      <c r="T359" s="41" t="s">
        <v>3</v>
      </c>
      <c r="U359" s="37" t="s">
        <v>4</v>
      </c>
      <c r="V359" s="37" t="s">
        <v>6</v>
      </c>
      <c r="W359" s="42" t="s">
        <v>15</v>
      </c>
      <c r="Y359" s="1">
        <v>1</v>
      </c>
    </row>
    <row r="360" spans="1:25" ht="30" customHeight="1" thickBot="1" x14ac:dyDescent="0.3">
      <c r="A360" s="38"/>
      <c r="B360" s="38"/>
      <c r="C360" s="40"/>
      <c r="D360" s="38"/>
      <c r="E360" s="38"/>
      <c r="F360" s="40"/>
      <c r="G360" s="40"/>
      <c r="H360" s="38"/>
      <c r="I360" s="40"/>
      <c r="J360" s="26" t="s">
        <v>26</v>
      </c>
      <c r="K360" s="26" t="s">
        <v>27</v>
      </c>
      <c r="L360" s="2" t="s">
        <v>2</v>
      </c>
      <c r="M360" s="38"/>
      <c r="N360" s="40"/>
      <c r="O360" s="40"/>
      <c r="P360" s="40"/>
      <c r="Q360" s="40"/>
      <c r="R360" s="40"/>
      <c r="S360" s="40"/>
      <c r="T360" s="46"/>
      <c r="U360" s="38"/>
      <c r="V360" s="38"/>
      <c r="W360" s="43"/>
      <c r="Y360" s="1">
        <v>1</v>
      </c>
    </row>
    <row r="361" spans="1:25" ht="15.75" outlineLevel="1" thickBot="1" x14ac:dyDescent="0.3">
      <c r="A361" s="12" t="s">
        <v>5</v>
      </c>
      <c r="B361" s="16"/>
      <c r="C361" s="30">
        <v>2</v>
      </c>
      <c r="D361" s="11">
        <v>8</v>
      </c>
      <c r="E361" s="11">
        <f>IF(D361="4.5 C", 4.5, IF(D361="4.8 C", 4.8, D361))</f>
        <v>8</v>
      </c>
      <c r="F361" s="11">
        <f t="shared" ref="F361:F376" si="183">IF(L361="Full", IF(Y361=1, E361*C361, E361), IF(L361="Gap", C361, E361))</f>
        <v>16</v>
      </c>
      <c r="G361" s="2">
        <f>VLOOKUP('930-4'!D361,Table1[],2,0)</f>
        <v>8.625</v>
      </c>
      <c r="H361" s="13">
        <f>G361*3.14*2.54</f>
        <v>68.789550000000006</v>
      </c>
      <c r="I361" s="2">
        <f>ROUNDUP(H361, 0)</f>
        <v>69</v>
      </c>
      <c r="J361" s="12">
        <v>40</v>
      </c>
      <c r="K361" s="12">
        <v>50</v>
      </c>
      <c r="L361" s="16" t="s">
        <v>13</v>
      </c>
      <c r="M361" s="14">
        <f t="shared" ref="M361:M376" si="184">IF(L361="Gap",C361, IF(E361&lt;=3, 3*C361, IF(L361="Full", C361*E361/Y361, IF(J361=K361,"Error", IF(K361&lt;J361, C361*(I361+K361-J361)*H361*E361/(3.14*2.54*I361*G361), C361*(K361-J361)*H361*E361/(3.14*2.54*I361*G361))))))</f>
        <v>16</v>
      </c>
      <c r="N361" s="15">
        <f t="shared" ref="N361:N367" si="185">IF(L361=0,IF(L360=0,IF(L359=0,IF(L358=0,IF(L357=0,IF(L356=0,IF(L355="Segment",M361,0),IF(L356="Segment",M361,0)),IF(L357="Segment",M361,0)),IF(L358="Segment",M361,0)),IF(L359="Segment",M361,0)),IF(L360="Segment",M361,0)),M361)</f>
        <v>16</v>
      </c>
      <c r="O361" s="15" t="str">
        <f t="shared" ref="O361:O376" si="186">IF(OR(T361="REJ",T361="NOT DONE-CONTRACTOR"), "YES", "NO")</f>
        <v>NO</v>
      </c>
      <c r="P361" s="25" t="str">
        <f>IF(L361&lt;&gt;0, IF(L361="Gap", O361, IF(L362&lt;&gt;0,  IF(O361="NO", "NO", "YES"), IF(L363&lt;&gt;0, IF(AND(O361="NO", O362="NO"), "NO", "YES"), IF(L364&lt;&gt;0, IF(AND(O361="NO", O362="NO", O363="NO"), "NO", "YES"), IF(AND(O361="NO", O362="NO", O363="NO", O364="NO"), "NO", "YES"))))))</f>
        <v>NO</v>
      </c>
      <c r="Q361" s="25">
        <f>IF(L361=0,0,IF(L362&lt;&gt;0,N361,IF(L363&lt;&gt;0,N361+N362,IF(L364&lt;&gt;0,N361+N362+N363,IF(L365&lt;&gt;0,N361+N362+N363+N364,IF(L366&lt;&gt;0,N361+N362+N363+N364+N365,N361+N362+N363+N364+N365+N366))))))</f>
        <v>16</v>
      </c>
      <c r="R361" s="25">
        <f t="shared" ref="R361:R376" si="187">IF(OR(T361="ACC", T361="REP", T361="RS", T361="RT"), N361, 0)</f>
        <v>16</v>
      </c>
      <c r="S361" s="25">
        <f t="shared" ref="S361:S373" si="188">IF(L361=0, 0, IF(L362&lt;&gt;0, R361, IF(L363&lt;&gt;0, R361+R362, IF(L364&lt;&gt;0, R361+R362+R363, IF(L365&lt;&gt;0, R361+R362+R363+R364, IF(L366&lt;&gt;0, R361+R362+R363+R364+R365, R361+R362+R363+R364+R365+R366))))))</f>
        <v>16</v>
      </c>
      <c r="T361" s="12" t="s">
        <v>7</v>
      </c>
      <c r="U361" s="12" t="s">
        <v>35</v>
      </c>
      <c r="V361" s="25">
        <f t="shared" ref="V361:V376" si="189">IF(OR(S361=0, P361=FALSE), 0, IF(AND(Q361&gt;3*C361, Q361&gt;F361), "Segment Error", IF(OR(P361="YES", L361="Gap"), S361, IF(E361&lt;3, S361, IF(S361&gt;F361/2, F361, F361/2)))))</f>
        <v>16</v>
      </c>
      <c r="W361" s="10">
        <f>V361*2400000</f>
        <v>38400000</v>
      </c>
      <c r="Y361" s="1">
        <f t="shared" ref="Y361:Y374" si="190">IF(L361="FULL",IF(L362=0,IF(L363=0,IF(L364=0,IF(L365=0,5,4),3),2),1),IF(L361=0,Y360,1))</f>
        <v>1</v>
      </c>
    </row>
    <row r="362" spans="1:25" ht="15.75" outlineLevel="1" thickBot="1" x14ac:dyDescent="0.3">
      <c r="A362" s="12" t="s">
        <v>5</v>
      </c>
      <c r="B362" s="16"/>
      <c r="C362" s="30">
        <v>1</v>
      </c>
      <c r="D362" s="11">
        <v>24</v>
      </c>
      <c r="E362" s="11">
        <f t="shared" ref="E362:E376" si="191">IF(D362="4.5 C", 4.5, IF(D362="4.8 C", 4.8, D362))</f>
        <v>24</v>
      </c>
      <c r="F362" s="11">
        <f t="shared" si="183"/>
        <v>24</v>
      </c>
      <c r="G362" s="2">
        <f>VLOOKUP('930-4'!D362,Table1[],2,0)</f>
        <v>24</v>
      </c>
      <c r="H362" s="13">
        <f t="shared" ref="H362:H376" si="192">G362*3.14*2.54</f>
        <v>191.4144</v>
      </c>
      <c r="I362" s="2">
        <f t="shared" ref="I362:I364" si="193">ROUNDUP(H362, 0)</f>
        <v>192</v>
      </c>
      <c r="J362" s="12">
        <v>4</v>
      </c>
      <c r="K362" s="12">
        <v>13</v>
      </c>
      <c r="L362" s="16" t="s">
        <v>13</v>
      </c>
      <c r="M362" s="14">
        <f t="shared" si="184"/>
        <v>24</v>
      </c>
      <c r="N362" s="15">
        <f t="shared" si="185"/>
        <v>24</v>
      </c>
      <c r="O362" s="15" t="str">
        <f t="shared" si="186"/>
        <v>NO</v>
      </c>
      <c r="P362" s="25" t="str">
        <f>IF(L362&lt;&gt;0, IF(L362="Gap", O362, IF(L363&lt;&gt;0,  IF(O362="NO", "NO", "YES"), IF(L364&lt;&gt;0, IF(AND(O362="NO", O363="NO"), "NO", "YES"), IF(L365&lt;&gt;0, IF(AND(O362="NO", O363="NO", O364="NO"), "NO", "YES"), IF(AND(O362="NO", O363="NO", O364="NO", O365="NO"), "NO", "YES"))))))</f>
        <v>NO</v>
      </c>
      <c r="Q362" s="25">
        <f t="shared" ref="Q362:Q373" si="194">IF(L362=0,0,IF(L363&lt;&gt;0,N362,IF(L364&lt;&gt;0,N362+N363,IF(L365&lt;&gt;0,N362+N363+N364,IF(L366&lt;&gt;0,N362+N363+N364+N365,IF(L367&lt;&gt;0,N362+N363+N364+N365+N366,N362+N363+N364+N365+N366+N367))))))</f>
        <v>24</v>
      </c>
      <c r="R362" s="25">
        <f t="shared" si="187"/>
        <v>24</v>
      </c>
      <c r="S362" s="25">
        <f t="shared" si="188"/>
        <v>24</v>
      </c>
      <c r="T362" s="12" t="s">
        <v>7</v>
      </c>
      <c r="U362" s="12" t="s">
        <v>35</v>
      </c>
      <c r="V362" s="25">
        <f t="shared" si="189"/>
        <v>24</v>
      </c>
      <c r="W362" s="10">
        <f t="shared" ref="W362:W376" si="195">V362*2400000</f>
        <v>57600000</v>
      </c>
      <c r="Y362" s="1">
        <f t="shared" si="190"/>
        <v>1</v>
      </c>
    </row>
    <row r="363" spans="1:25" ht="15.75" outlineLevel="1" thickBot="1" x14ac:dyDescent="0.3">
      <c r="A363" s="12" t="s">
        <v>5</v>
      </c>
      <c r="B363" s="16"/>
      <c r="C363" s="30">
        <v>1</v>
      </c>
      <c r="D363" s="11">
        <v>2</v>
      </c>
      <c r="E363" s="11">
        <f t="shared" si="191"/>
        <v>2</v>
      </c>
      <c r="F363" s="11">
        <f t="shared" si="183"/>
        <v>2</v>
      </c>
      <c r="G363" s="2">
        <f>VLOOKUP('930-4'!D363,Table1[],2,0)</f>
        <v>2.375</v>
      </c>
      <c r="H363" s="13">
        <f t="shared" si="192"/>
        <v>18.942050000000002</v>
      </c>
      <c r="I363" s="2">
        <f t="shared" si="193"/>
        <v>19</v>
      </c>
      <c r="J363" s="12">
        <v>4</v>
      </c>
      <c r="K363" s="12">
        <v>13</v>
      </c>
      <c r="L363" s="16" t="s">
        <v>13</v>
      </c>
      <c r="M363" s="14">
        <f t="shared" si="184"/>
        <v>3</v>
      </c>
      <c r="N363" s="15">
        <f t="shared" si="185"/>
        <v>3</v>
      </c>
      <c r="O363" s="15" t="str">
        <f t="shared" si="186"/>
        <v>NO</v>
      </c>
      <c r="P363" s="25" t="str">
        <f>IF(L363&lt;&gt;0, IF(L363="Gap", O363, IF(L364&lt;&gt;0,  IF(O363="NO", "NO", "YES"), IF(L365&lt;&gt;0, IF(AND(O363="NO", O364="NO"), "NO", "YES"), IF(L371&lt;&gt;0, IF(AND(O363="NO", O364="NO", O365="NO"), "NO", "YES"), IF(AND(O363="NO", O364="NO", O365="NO", O371="NO"), "NO", "YES"))))))</f>
        <v>NO</v>
      </c>
      <c r="Q363" s="25">
        <f t="shared" si="194"/>
        <v>3</v>
      </c>
      <c r="R363" s="25">
        <f t="shared" si="187"/>
        <v>3</v>
      </c>
      <c r="S363" s="25">
        <f t="shared" si="188"/>
        <v>3</v>
      </c>
      <c r="T363" s="12" t="s">
        <v>7</v>
      </c>
      <c r="U363" s="12" t="s">
        <v>35</v>
      </c>
      <c r="V363" s="25">
        <f t="shared" si="189"/>
        <v>3</v>
      </c>
      <c r="W363" s="10">
        <f t="shared" si="195"/>
        <v>7200000</v>
      </c>
      <c r="X363" s="33"/>
      <c r="Y363" s="1">
        <f t="shared" si="190"/>
        <v>1</v>
      </c>
    </row>
    <row r="364" spans="1:25" ht="15.75" outlineLevel="1" thickBot="1" x14ac:dyDescent="0.3">
      <c r="A364" s="12" t="s">
        <v>5</v>
      </c>
      <c r="B364" s="16"/>
      <c r="C364" s="30">
        <v>0</v>
      </c>
      <c r="D364" s="11">
        <v>2</v>
      </c>
      <c r="E364" s="11">
        <f t="shared" si="191"/>
        <v>2</v>
      </c>
      <c r="F364" s="11">
        <f t="shared" si="183"/>
        <v>0</v>
      </c>
      <c r="G364" s="2">
        <f>VLOOKUP('930-4'!D364,Table1[],2,0)</f>
        <v>2.375</v>
      </c>
      <c r="H364" s="13">
        <f t="shared" si="192"/>
        <v>18.942050000000002</v>
      </c>
      <c r="I364" s="2">
        <f t="shared" si="193"/>
        <v>19</v>
      </c>
      <c r="J364" s="12">
        <v>20</v>
      </c>
      <c r="K364" s="12">
        <v>40</v>
      </c>
      <c r="L364" s="16" t="s">
        <v>13</v>
      </c>
      <c r="M364" s="14">
        <f t="shared" si="184"/>
        <v>0</v>
      </c>
      <c r="N364" s="15">
        <f t="shared" si="185"/>
        <v>0</v>
      </c>
      <c r="O364" s="15" t="str">
        <f t="shared" si="186"/>
        <v>NO</v>
      </c>
      <c r="P364" s="25" t="str">
        <f>IF(L364&lt;&gt;0, IF(L364="Gap", O364, IF(L365&lt;&gt;0,  IF(O364="NO", "NO", "YES"), IF(L371&lt;&gt;0, IF(AND(O364="NO", O365="NO"), "NO", "YES"), IF(L372&lt;&gt;0, IF(AND(O364="NO", O365="NO", O371="NO"), "NO", "YES"), IF(AND(O364="NO", O365="NO", O371="NO", O372="NO"), "NO", "YES"))))))</f>
        <v>NO</v>
      </c>
      <c r="Q364" s="25">
        <f t="shared" si="194"/>
        <v>0</v>
      </c>
      <c r="R364" s="25">
        <f t="shared" si="187"/>
        <v>0</v>
      </c>
      <c r="S364" s="25">
        <f t="shared" si="188"/>
        <v>0</v>
      </c>
      <c r="T364" s="12" t="s">
        <v>7</v>
      </c>
      <c r="U364" s="12" t="s">
        <v>35</v>
      </c>
      <c r="V364" s="25">
        <f t="shared" si="189"/>
        <v>0</v>
      </c>
      <c r="W364" s="10">
        <f t="shared" si="195"/>
        <v>0</v>
      </c>
      <c r="Y364" s="1">
        <f t="shared" si="190"/>
        <v>1</v>
      </c>
    </row>
    <row r="365" spans="1:25" ht="15.75" outlineLevel="1" thickBot="1" x14ac:dyDescent="0.3">
      <c r="A365" s="12" t="s">
        <v>5</v>
      </c>
      <c r="B365" s="16"/>
      <c r="C365" s="30">
        <v>0</v>
      </c>
      <c r="D365" s="11">
        <v>28</v>
      </c>
      <c r="E365" s="11">
        <f t="shared" si="191"/>
        <v>28</v>
      </c>
      <c r="F365" s="11">
        <f t="shared" si="183"/>
        <v>0</v>
      </c>
      <c r="G365" s="2">
        <f>VLOOKUP('930-4'!D365,Table1[],2,0)</f>
        <v>28</v>
      </c>
      <c r="H365" s="13">
        <f t="shared" si="192"/>
        <v>223.3168</v>
      </c>
      <c r="I365" s="13">
        <f>ROUNDUP(H365, 0)</f>
        <v>224</v>
      </c>
      <c r="J365" s="12">
        <v>65</v>
      </c>
      <c r="K365" s="12">
        <v>85</v>
      </c>
      <c r="L365" s="16" t="s">
        <v>13</v>
      </c>
      <c r="M365" s="14">
        <f t="shared" si="184"/>
        <v>0</v>
      </c>
      <c r="N365" s="15">
        <f t="shared" si="185"/>
        <v>0</v>
      </c>
      <c r="O365" s="15" t="str">
        <f t="shared" si="186"/>
        <v>NO</v>
      </c>
      <c r="P365" s="25" t="str">
        <f>IF(L365&lt;&gt;0, IF(L365="Gap", O365, IF(L371&lt;&gt;0,  IF(O365="NO", "NO", "YES"), IF(L372&lt;&gt;0, IF(AND(O365="NO", O371="NO"), "NO", "YES"), IF(L373&lt;&gt;0, IF(AND(O365="NO", O371="NO", O372="NO"), "NO", "YES"), IF(AND(O365="NO", O371="NO", O372="NO", O373="NO"), "NO", "YES"))))))</f>
        <v>NO</v>
      </c>
      <c r="Q365" s="25">
        <f t="shared" si="194"/>
        <v>0</v>
      </c>
      <c r="R365" s="25">
        <f t="shared" si="187"/>
        <v>0</v>
      </c>
      <c r="S365" s="25">
        <f t="shared" si="188"/>
        <v>0</v>
      </c>
      <c r="T365" s="12" t="s">
        <v>7</v>
      </c>
      <c r="U365" s="12" t="s">
        <v>35</v>
      </c>
      <c r="V365" s="25">
        <f t="shared" si="189"/>
        <v>0</v>
      </c>
      <c r="W365" s="10">
        <f t="shared" si="195"/>
        <v>0</v>
      </c>
      <c r="Y365" s="1">
        <f t="shared" si="190"/>
        <v>1</v>
      </c>
    </row>
    <row r="366" spans="1:25" ht="15.75" outlineLevel="1" thickBot="1" x14ac:dyDescent="0.3">
      <c r="A366" s="12" t="s">
        <v>5</v>
      </c>
      <c r="B366" s="32"/>
      <c r="C366" s="30">
        <v>0</v>
      </c>
      <c r="D366" s="11">
        <v>10</v>
      </c>
      <c r="E366" s="11">
        <f t="shared" si="191"/>
        <v>10</v>
      </c>
      <c r="F366" s="11">
        <f t="shared" si="183"/>
        <v>0</v>
      </c>
      <c r="G366" s="2">
        <f>VLOOKUP('930-4'!D366,Table1[],2,0)</f>
        <v>10.75</v>
      </c>
      <c r="H366" s="13">
        <f t="shared" si="192"/>
        <v>85.737700000000004</v>
      </c>
      <c r="I366" s="2">
        <f t="shared" ref="I366:I376" si="196">ROUNDUP(H366, 0)</f>
        <v>86</v>
      </c>
      <c r="J366" s="12">
        <v>40</v>
      </c>
      <c r="K366" s="12">
        <v>125</v>
      </c>
      <c r="L366" s="16" t="s">
        <v>13</v>
      </c>
      <c r="M366" s="14">
        <f t="shared" si="184"/>
        <v>0</v>
      </c>
      <c r="N366" s="15">
        <f t="shared" si="185"/>
        <v>0</v>
      </c>
      <c r="O366" s="15" t="str">
        <f t="shared" si="186"/>
        <v>NO</v>
      </c>
      <c r="P366" s="25" t="str">
        <f>IF(L366&lt;&gt;0, IF(L366="Gap", O366, IF(L367&lt;&gt;0,  IF(O366="NO", "NO", "YES"), IF(L368&lt;&gt;0, IF(AND(O366="NO", O367="NO"), "NO", "YES"), IF(L369&lt;&gt;0, IF(AND(O366="NO", O367="NO", O368="NO"), "NO", "YES"), IF(AND(O366="NO", O367="NO", O368="NO", O369="NO"), "NO", "YES"))))))</f>
        <v>NO</v>
      </c>
      <c r="Q366" s="25">
        <f t="shared" si="194"/>
        <v>0</v>
      </c>
      <c r="R366" s="25">
        <f t="shared" si="187"/>
        <v>0</v>
      </c>
      <c r="S366" s="25">
        <f t="shared" si="188"/>
        <v>0</v>
      </c>
      <c r="T366" s="12" t="s">
        <v>7</v>
      </c>
      <c r="U366" s="12" t="s">
        <v>35</v>
      </c>
      <c r="V366" s="25">
        <f t="shared" si="189"/>
        <v>0</v>
      </c>
      <c r="W366" s="10">
        <f t="shared" si="195"/>
        <v>0</v>
      </c>
      <c r="Y366" s="1">
        <f t="shared" si="190"/>
        <v>1</v>
      </c>
    </row>
    <row r="367" spans="1:25" ht="15.75" outlineLevel="1" thickBot="1" x14ac:dyDescent="0.3">
      <c r="A367" s="12" t="s">
        <v>5</v>
      </c>
      <c r="B367" s="16"/>
      <c r="C367" s="30">
        <v>1</v>
      </c>
      <c r="D367" s="11">
        <v>6</v>
      </c>
      <c r="E367" s="11">
        <f t="shared" si="191"/>
        <v>6</v>
      </c>
      <c r="F367" s="11">
        <f t="shared" si="183"/>
        <v>6</v>
      </c>
      <c r="G367" s="2">
        <f>VLOOKUP('930-4'!D367,Table1[],2,0)</f>
        <v>6.625</v>
      </c>
      <c r="H367" s="13">
        <f t="shared" si="192"/>
        <v>52.838350000000005</v>
      </c>
      <c r="I367" s="2">
        <f t="shared" si="196"/>
        <v>53</v>
      </c>
      <c r="J367" s="12">
        <v>0</v>
      </c>
      <c r="K367" s="12">
        <v>53</v>
      </c>
      <c r="L367" s="16" t="s">
        <v>34</v>
      </c>
      <c r="M367" s="14">
        <f t="shared" si="184"/>
        <v>6</v>
      </c>
      <c r="N367" s="15">
        <f t="shared" si="185"/>
        <v>6</v>
      </c>
      <c r="O367" s="15" t="str">
        <f t="shared" si="186"/>
        <v>NO</v>
      </c>
      <c r="P367" s="25" t="str">
        <f>IF(L367&lt;&gt;0, IF(L367="Gap", O367, IF(L368&lt;&gt;0,  IF(O367="NO", "NO", "YES"), IF(L369&lt;&gt;0, IF(AND(O367="NO", O368="NO"), "NO", "YES"), IF(L371&lt;&gt;0, IF(AND(O367="NO", O368="NO", O369="NO"), "NO", "YES"), IF(AND(O367="NO", O368="NO", O369="NO", O371="NO"), "NO", "YES"))))))</f>
        <v>NO</v>
      </c>
      <c r="Q367" s="25">
        <f t="shared" si="194"/>
        <v>6</v>
      </c>
      <c r="R367" s="25">
        <f t="shared" si="187"/>
        <v>6</v>
      </c>
      <c r="S367" s="25">
        <f t="shared" si="188"/>
        <v>6</v>
      </c>
      <c r="T367" s="12" t="s">
        <v>7</v>
      </c>
      <c r="U367" s="12" t="s">
        <v>35</v>
      </c>
      <c r="V367" s="25">
        <f t="shared" si="189"/>
        <v>6</v>
      </c>
      <c r="W367" s="10">
        <f t="shared" si="195"/>
        <v>14400000</v>
      </c>
      <c r="Y367" s="1">
        <f t="shared" si="190"/>
        <v>1</v>
      </c>
    </row>
    <row r="368" spans="1:25" ht="15.75" outlineLevel="1" thickBot="1" x14ac:dyDescent="0.3">
      <c r="A368" s="12" t="s">
        <v>5</v>
      </c>
      <c r="B368" s="16"/>
      <c r="C368" s="30">
        <v>1</v>
      </c>
      <c r="D368" s="11">
        <v>0.75</v>
      </c>
      <c r="E368" s="11">
        <f t="shared" si="191"/>
        <v>0.75</v>
      </c>
      <c r="F368" s="11">
        <f t="shared" si="183"/>
        <v>0.75</v>
      </c>
      <c r="G368" s="2">
        <f>VLOOKUP('930-4'!D368,Table1[],2,0)</f>
        <v>1.05</v>
      </c>
      <c r="H368" s="13">
        <f t="shared" si="192"/>
        <v>8.3743800000000004</v>
      </c>
      <c r="I368" s="2">
        <f t="shared" si="196"/>
        <v>9</v>
      </c>
      <c r="J368" s="12">
        <v>40</v>
      </c>
      <c r="K368" s="12">
        <v>45</v>
      </c>
      <c r="L368" s="34" t="s">
        <v>13</v>
      </c>
      <c r="M368" s="14">
        <f t="shared" si="184"/>
        <v>3</v>
      </c>
      <c r="N368" s="15">
        <f>IF(L368=0,IF(L367=0,IF(L366=0,IF(L365=0,IF(L364=0,IF(L363=0,IF(L362="Segment",M368,0),IF(L363="Segment",M368,0)),IF(L364="Segment",M368,0)),IF(L365="Segment",M368,0)),IF(L366="Segment",M368,0)),IF(L367="Segment",M368,0)),M368)</f>
        <v>3</v>
      </c>
      <c r="O368" s="15" t="str">
        <f t="shared" si="186"/>
        <v>NO</v>
      </c>
      <c r="P368" s="25" t="str">
        <f>IF(L368&lt;&gt;0, IF(L368="Gap", O368, IF(L369&lt;&gt;0,  IF(O368="NO", "NO", "YES"), IF(L371&lt;&gt;0, IF(AND(O368="NO", O369="NO"), "NO", "YES"), IF(L372&lt;&gt;0, IF(AND(O368="NO", O369="NO", O371="NO"), "NO", "YES"), IF(AND(O368="NO", O369="NO", O371="NO", O372="NO"), "NO", "YES"))))))</f>
        <v>NO</v>
      </c>
      <c r="Q368" s="25">
        <f t="shared" si="194"/>
        <v>3</v>
      </c>
      <c r="R368" s="25">
        <f t="shared" si="187"/>
        <v>3</v>
      </c>
      <c r="S368" s="25">
        <f t="shared" si="188"/>
        <v>3</v>
      </c>
      <c r="T368" s="12" t="s">
        <v>7</v>
      </c>
      <c r="U368" s="12" t="s">
        <v>35</v>
      </c>
      <c r="V368" s="25">
        <f t="shared" si="189"/>
        <v>3</v>
      </c>
      <c r="W368" s="10">
        <f t="shared" si="195"/>
        <v>7200000</v>
      </c>
      <c r="Y368" s="1">
        <f t="shared" si="190"/>
        <v>2</v>
      </c>
    </row>
    <row r="369" spans="1:25" ht="15.75" outlineLevel="1" thickBot="1" x14ac:dyDescent="0.3">
      <c r="A369" s="16" t="s">
        <v>5</v>
      </c>
      <c r="B369" s="16"/>
      <c r="C369" s="30">
        <v>1</v>
      </c>
      <c r="D369" s="11">
        <v>0.75</v>
      </c>
      <c r="E369" s="11">
        <f t="shared" si="191"/>
        <v>0.75</v>
      </c>
      <c r="F369" s="11">
        <f t="shared" si="183"/>
        <v>0.75</v>
      </c>
      <c r="G369" s="2">
        <f>VLOOKUP('930-4'!D369,Table1[],2,0)</f>
        <v>1.05</v>
      </c>
      <c r="H369" s="19">
        <f t="shared" si="192"/>
        <v>8.3743800000000004</v>
      </c>
      <c r="I369" s="18">
        <f t="shared" si="196"/>
        <v>9</v>
      </c>
      <c r="J369" s="12">
        <v>20</v>
      </c>
      <c r="K369" s="12">
        <v>30</v>
      </c>
      <c r="L369" s="35"/>
      <c r="M369" s="14">
        <f>IF(L369="Gap",C369, IF(E369&lt;=3, 3*C369, IF(L369="Full", C369*E369/Y369, IF(J369=K369,"Error", IF(K369&lt;J369, C369*(I369+K369-J369)*H369*E369/(3.14*2.54*I369*G369), C369*(K369-J369)*H369*E369/(3.14*2.54*I369*G369))))))</f>
        <v>3</v>
      </c>
      <c r="N369" s="15">
        <f>IF(L369=0,IF(L368=0,IF(L367=0,IF(L366=0,IF(L365=0,IF(L364=0,IF(L363="Segment",M369,0),IF(L364="Segment",M369,0)),IF(L365="Segment",M369,0)),IF(L366="Segment",M369,0)),IF(L367="Segment",M369,0)),IF(L368="Segment",M369,0)),M369)</f>
        <v>0</v>
      </c>
      <c r="O369" s="15" t="str">
        <f t="shared" si="186"/>
        <v>NO</v>
      </c>
      <c r="P369" s="25" t="b">
        <f>IF(L369&lt;&gt;0, IF(L369="Gap", O369, IF(L371&lt;&gt;0,  IF(O369="NO", "NO", "YES"), IF(L372&lt;&gt;0, IF(AND(O369="NO", O371="NO"), "NO", "YES"), IF(L373&lt;&gt;0, IF(AND(O369="NO", O371="NO", O372="NO"), "NO", "YES"), IF(AND(O369="NO", O371="NO", O372="NO", O373="NO"), "NO", "YES"))))))</f>
        <v>0</v>
      </c>
      <c r="Q369" s="25">
        <f t="shared" si="194"/>
        <v>0</v>
      </c>
      <c r="R369" s="25">
        <f t="shared" si="187"/>
        <v>0</v>
      </c>
      <c r="S369" s="25">
        <f t="shared" si="188"/>
        <v>0</v>
      </c>
      <c r="T369" s="12" t="s">
        <v>7</v>
      </c>
      <c r="U369" s="12" t="s">
        <v>35</v>
      </c>
      <c r="V369" s="25">
        <f t="shared" si="189"/>
        <v>0</v>
      </c>
      <c r="W369" s="10">
        <f t="shared" si="195"/>
        <v>0</v>
      </c>
      <c r="Y369" s="1">
        <f t="shared" si="190"/>
        <v>2</v>
      </c>
    </row>
    <row r="370" spans="1:25" ht="15.75" outlineLevel="1" thickBot="1" x14ac:dyDescent="0.3">
      <c r="A370" s="12" t="s">
        <v>5</v>
      </c>
      <c r="B370" s="16"/>
      <c r="C370" s="30">
        <v>0</v>
      </c>
      <c r="D370" s="11">
        <v>10</v>
      </c>
      <c r="E370" s="11">
        <f t="shared" si="191"/>
        <v>10</v>
      </c>
      <c r="F370" s="11">
        <f t="shared" si="183"/>
        <v>0</v>
      </c>
      <c r="G370" s="2">
        <f>VLOOKUP('930-4'!D370,Table1[],2,0)</f>
        <v>10.75</v>
      </c>
      <c r="H370" s="13">
        <f t="shared" si="192"/>
        <v>85.737700000000004</v>
      </c>
      <c r="I370" s="2">
        <f t="shared" si="196"/>
        <v>86</v>
      </c>
      <c r="J370" s="12">
        <v>40</v>
      </c>
      <c r="K370" s="12">
        <v>35</v>
      </c>
      <c r="L370" s="16" t="s">
        <v>13</v>
      </c>
      <c r="M370" s="14">
        <f t="shared" si="184"/>
        <v>0</v>
      </c>
      <c r="N370" s="15">
        <f t="shared" ref="N370:N376" si="197">IF(L370=0,IF(L369=0,IF(L368=0,IF(L367=0,IF(L366=0,IF(L365=0,IF(L364="Segment",M370,0),IF(L365="Segment",M370,0)),IF(L366="Segment",M370,0)),IF(L367="Segment",M370,0)),IF(L368="Segment",M370,0)),IF(L369="Segment",M370,0)),M370)</f>
        <v>0</v>
      </c>
      <c r="O370" s="15" t="str">
        <f t="shared" si="186"/>
        <v>NO</v>
      </c>
      <c r="P370" s="25" t="str">
        <f>IF(L370&lt;&gt;0, IF(L370="Gap", O370, IF(L376&lt;&gt;0,  IF(O370="NO", "NO", "YES"), IF(L377&lt;&gt;0, IF(AND(O370="NO", O376="NO"), "NO", "YES"), IF(L378&lt;&gt;0, IF(AND(O370="NO", O376="NO", O377="NO"), "NO", "YES"), IF(AND(O370="NO", O376="NO", O377="NO", O378="NO"), "NO", "YES"))))))</f>
        <v>NO</v>
      </c>
      <c r="Q370" s="25">
        <f t="shared" si="194"/>
        <v>0</v>
      </c>
      <c r="R370" s="25">
        <f t="shared" si="187"/>
        <v>0</v>
      </c>
      <c r="S370" s="25">
        <f t="shared" si="188"/>
        <v>0</v>
      </c>
      <c r="T370" s="12" t="s">
        <v>7</v>
      </c>
      <c r="U370" s="12" t="s">
        <v>35</v>
      </c>
      <c r="V370" s="25">
        <f t="shared" si="189"/>
        <v>0</v>
      </c>
      <c r="W370" s="10">
        <f t="shared" si="195"/>
        <v>0</v>
      </c>
      <c r="Y370" s="1">
        <f t="shared" si="190"/>
        <v>1</v>
      </c>
    </row>
    <row r="371" spans="1:25" ht="15.75" outlineLevel="1" thickBot="1" x14ac:dyDescent="0.3">
      <c r="A371" s="12" t="s">
        <v>5</v>
      </c>
      <c r="B371" s="32"/>
      <c r="C371" s="30">
        <v>1</v>
      </c>
      <c r="D371" s="11">
        <v>0.75</v>
      </c>
      <c r="E371" s="11">
        <f t="shared" si="191"/>
        <v>0.75</v>
      </c>
      <c r="F371" s="11">
        <f t="shared" si="183"/>
        <v>0.75</v>
      </c>
      <c r="G371" s="2">
        <f>VLOOKUP('930-4'!D371,Table1[],2,0)</f>
        <v>1.05</v>
      </c>
      <c r="H371" s="13">
        <f t="shared" si="192"/>
        <v>8.3743800000000004</v>
      </c>
      <c r="I371" s="2">
        <f t="shared" si="196"/>
        <v>9</v>
      </c>
      <c r="J371" s="12">
        <v>40</v>
      </c>
      <c r="K371" s="12">
        <v>50</v>
      </c>
      <c r="L371" s="34" t="s">
        <v>13</v>
      </c>
      <c r="M371" s="14">
        <f t="shared" si="184"/>
        <v>3</v>
      </c>
      <c r="N371" s="15">
        <f t="shared" si="197"/>
        <v>3</v>
      </c>
      <c r="O371" s="15" t="str">
        <f t="shared" si="186"/>
        <v>NO</v>
      </c>
      <c r="P371" s="25" t="str">
        <f>IF(L371&lt;&gt;0, IF(L371="Gap", O371, IF(L372&lt;&gt;0,  IF(O371="NO", "NO", "YES"), IF(L373&lt;&gt;0, IF(AND(O371="NO", O372="NO"), "NO", "YES"), IF(L374&lt;&gt;0, IF(AND(O371="NO", O372="NO", O373="NO"), "NO", "YES"), IF(AND(O371="NO", O372="NO", O373="NO", O374="NO"), "NO", "YES"))))))</f>
        <v>NO</v>
      </c>
      <c r="Q371" s="25">
        <f t="shared" si="194"/>
        <v>3</v>
      </c>
      <c r="R371" s="25">
        <f t="shared" si="187"/>
        <v>3</v>
      </c>
      <c r="S371" s="25">
        <f t="shared" si="188"/>
        <v>3</v>
      </c>
      <c r="T371" s="12" t="s">
        <v>7</v>
      </c>
      <c r="U371" s="12" t="s">
        <v>35</v>
      </c>
      <c r="V371" s="25">
        <f t="shared" si="189"/>
        <v>3</v>
      </c>
      <c r="W371" s="10">
        <f t="shared" si="195"/>
        <v>7200000</v>
      </c>
      <c r="Y371" s="1">
        <f t="shared" si="190"/>
        <v>2</v>
      </c>
    </row>
    <row r="372" spans="1:25" ht="15.75" outlineLevel="1" thickBot="1" x14ac:dyDescent="0.3">
      <c r="A372" s="12" t="s">
        <v>5</v>
      </c>
      <c r="B372" s="16"/>
      <c r="C372" s="30">
        <v>1</v>
      </c>
      <c r="D372" s="11">
        <v>0.75</v>
      </c>
      <c r="E372" s="11">
        <f t="shared" si="191"/>
        <v>0.75</v>
      </c>
      <c r="F372" s="11">
        <f t="shared" si="183"/>
        <v>0.75</v>
      </c>
      <c r="G372" s="2">
        <f>VLOOKUP('930-4'!D372,Table1[],2,0)</f>
        <v>1.05</v>
      </c>
      <c r="H372" s="13">
        <f t="shared" si="192"/>
        <v>8.3743800000000004</v>
      </c>
      <c r="I372" s="2">
        <f t="shared" si="196"/>
        <v>9</v>
      </c>
      <c r="J372" s="12">
        <v>40</v>
      </c>
      <c r="K372" s="12">
        <v>80</v>
      </c>
      <c r="L372" s="35"/>
      <c r="M372" s="14">
        <f t="shared" si="184"/>
        <v>3</v>
      </c>
      <c r="N372" s="15">
        <f t="shared" si="197"/>
        <v>0</v>
      </c>
      <c r="O372" s="15" t="str">
        <f t="shared" si="186"/>
        <v>NO</v>
      </c>
      <c r="P372" s="25" t="b">
        <f>IF(L372&lt;&gt;0, IF(L372="Gap", O372, IF(L373&lt;&gt;0,  IF(O372="NO", "NO", "YES"), IF(L374&lt;&gt;0, IF(AND(O372="NO", O373="NO"), "NO", "YES"), IF(L376&lt;&gt;0, IF(AND(O372="NO", O373="NO", O374="NO"), "NO", "YES"), IF(AND(O372="NO", O373="NO", O374="NO", O376="NO"), "NO", "YES"))))))</f>
        <v>0</v>
      </c>
      <c r="Q372" s="25">
        <f t="shared" si="194"/>
        <v>0</v>
      </c>
      <c r="R372" s="25">
        <f t="shared" si="187"/>
        <v>0</v>
      </c>
      <c r="S372" s="25">
        <f t="shared" si="188"/>
        <v>0</v>
      </c>
      <c r="T372" s="12" t="s">
        <v>7</v>
      </c>
      <c r="U372" s="12" t="s">
        <v>35</v>
      </c>
      <c r="V372" s="25">
        <f t="shared" si="189"/>
        <v>0</v>
      </c>
      <c r="W372" s="10">
        <f t="shared" si="195"/>
        <v>0</v>
      </c>
      <c r="Y372" s="1">
        <f t="shared" si="190"/>
        <v>2</v>
      </c>
    </row>
    <row r="373" spans="1:25" ht="15.75" outlineLevel="1" thickBot="1" x14ac:dyDescent="0.3">
      <c r="A373" s="12" t="s">
        <v>5</v>
      </c>
      <c r="B373" s="16"/>
      <c r="C373" s="30">
        <v>0</v>
      </c>
      <c r="D373" s="11">
        <v>10</v>
      </c>
      <c r="E373" s="11">
        <f t="shared" si="191"/>
        <v>10</v>
      </c>
      <c r="F373" s="11">
        <f t="shared" si="183"/>
        <v>10</v>
      </c>
      <c r="G373" s="2">
        <f>VLOOKUP('930-4'!D373,Table1[],2,0)</f>
        <v>10.75</v>
      </c>
      <c r="H373" s="13">
        <f t="shared" si="192"/>
        <v>85.737700000000004</v>
      </c>
      <c r="I373" s="2">
        <f t="shared" si="196"/>
        <v>86</v>
      </c>
      <c r="J373" s="12">
        <v>40</v>
      </c>
      <c r="K373" s="12">
        <v>55</v>
      </c>
      <c r="L373" s="34" t="s">
        <v>34</v>
      </c>
      <c r="M373" s="14">
        <f t="shared" si="184"/>
        <v>0</v>
      </c>
      <c r="N373" s="15">
        <f t="shared" si="197"/>
        <v>0</v>
      </c>
      <c r="O373" s="15" t="str">
        <f t="shared" si="186"/>
        <v>NO</v>
      </c>
      <c r="P373" s="25" t="str">
        <f>IF(L373&lt;&gt;0, IF(L373="Gap", O373, IF(L374&lt;&gt;0,  IF(O373="NO", "NO", "YES"), IF(L376&lt;&gt;0, IF(AND(O373="NO", O374="NO"), "NO", "YES"), IF(L377&lt;&gt;0, IF(AND(O373="NO", O374="NO", O376="NO"), "NO", "YES"), IF(AND(O373="NO", O374="NO", O376="NO", O377="NO"), "NO", "YES"))))))</f>
        <v>NO</v>
      </c>
      <c r="Q373" s="25">
        <f t="shared" si="194"/>
        <v>0</v>
      </c>
      <c r="R373" s="25">
        <f t="shared" si="187"/>
        <v>0</v>
      </c>
      <c r="S373" s="25">
        <f t="shared" si="188"/>
        <v>0</v>
      </c>
      <c r="T373" s="12" t="s">
        <v>7</v>
      </c>
      <c r="U373" s="12" t="s">
        <v>35</v>
      </c>
      <c r="V373" s="25">
        <f t="shared" si="189"/>
        <v>0</v>
      </c>
      <c r="W373" s="10">
        <f t="shared" si="195"/>
        <v>0</v>
      </c>
      <c r="Y373" s="1">
        <f t="shared" si="190"/>
        <v>1</v>
      </c>
    </row>
    <row r="374" spans="1:25" ht="15.75" outlineLevel="1" thickBot="1" x14ac:dyDescent="0.3">
      <c r="A374" s="16" t="s">
        <v>5</v>
      </c>
      <c r="B374" s="16"/>
      <c r="C374" s="30">
        <v>0</v>
      </c>
      <c r="D374" s="17">
        <v>10</v>
      </c>
      <c r="E374" s="11">
        <f t="shared" si="191"/>
        <v>10</v>
      </c>
      <c r="F374" s="11">
        <f t="shared" si="183"/>
        <v>10</v>
      </c>
      <c r="G374" s="2">
        <f>VLOOKUP('930-4'!D374,Table1[],2,0)</f>
        <v>10.75</v>
      </c>
      <c r="H374" s="19">
        <f t="shared" si="192"/>
        <v>85.737700000000004</v>
      </c>
      <c r="I374" s="18">
        <f t="shared" si="196"/>
        <v>86</v>
      </c>
      <c r="J374" s="12">
        <v>40</v>
      </c>
      <c r="K374" s="12">
        <v>75</v>
      </c>
      <c r="L374" s="35"/>
      <c r="M374" s="14">
        <f t="shared" si="184"/>
        <v>0</v>
      </c>
      <c r="N374" s="15">
        <f t="shared" si="197"/>
        <v>0</v>
      </c>
      <c r="O374" s="15" t="str">
        <f t="shared" si="186"/>
        <v>NO</v>
      </c>
      <c r="P374" s="25" t="b">
        <f>IF(L374&lt;&gt;0, IF(L374="Gap", O374, IF(L376&lt;&gt;0,  IF(O374="NO", "NO", "YES"), IF(L377&lt;&gt;0, IF(AND(O374="NO", O376="NO"), "NO", "YES"), IF(L378&lt;&gt;0, IF(AND(O374="NO", O376="NO", O377="NO"), "NO", "YES"), IF(AND(O374="NO", O376="NO", O377="NO", O378="NO"), "NO", "YES"))))))</f>
        <v>0</v>
      </c>
      <c r="Q374" s="25">
        <f>IF(L374=0,0,IF(L375&lt;&gt;0,N374,IF(L376&lt;&gt;0,N374+N375,IF(L377&lt;&gt;0,N374+N375+N376,IF(L378&lt;&gt;0,N374+N375+N376+N377,IF(#REF!&lt;&gt;0,N374+N375+N376+N377+N378,N374+N375+N376+N377+N378+#REF!))))))</f>
        <v>0</v>
      </c>
      <c r="R374" s="25">
        <f t="shared" si="187"/>
        <v>0</v>
      </c>
      <c r="S374" s="25">
        <f>IF(L374=0, 0, IF(L375&lt;&gt;0, R374, IF(L376&lt;&gt;0, R374+R375, IF(L377&lt;&gt;0, R374+R375+R376, IF(L378&lt;&gt;0, R374+R375+R376+R377, IF(#REF!&lt;&gt;0, R374+R375+R376+R377+R378, R374+R375+R376+R377+R378+#REF!))))))</f>
        <v>0</v>
      </c>
      <c r="T374" s="12" t="s">
        <v>7</v>
      </c>
      <c r="U374" s="12" t="s">
        <v>35</v>
      </c>
      <c r="V374" s="25">
        <f t="shared" si="189"/>
        <v>0</v>
      </c>
      <c r="W374" s="10">
        <f t="shared" si="195"/>
        <v>0</v>
      </c>
      <c r="Y374" s="1">
        <f t="shared" si="190"/>
        <v>1</v>
      </c>
    </row>
    <row r="375" spans="1:25" ht="15.75" outlineLevel="1" thickBot="1" x14ac:dyDescent="0.3">
      <c r="A375" s="16"/>
      <c r="B375" s="16"/>
      <c r="C375" s="30">
        <v>0</v>
      </c>
      <c r="D375" s="17">
        <v>10</v>
      </c>
      <c r="E375" s="11">
        <f t="shared" si="191"/>
        <v>10</v>
      </c>
      <c r="F375" s="11">
        <f t="shared" si="183"/>
        <v>0</v>
      </c>
      <c r="G375" s="2">
        <f>VLOOKUP('930-4'!D375,Table1[],2,0)</f>
        <v>10.75</v>
      </c>
      <c r="H375" s="19">
        <f t="shared" si="192"/>
        <v>85.737700000000004</v>
      </c>
      <c r="I375" s="18">
        <f t="shared" si="196"/>
        <v>86</v>
      </c>
      <c r="J375" s="12">
        <v>40</v>
      </c>
      <c r="K375" s="12">
        <v>45</v>
      </c>
      <c r="L375" s="16" t="s">
        <v>13</v>
      </c>
      <c r="M375" s="14">
        <f t="shared" si="184"/>
        <v>0</v>
      </c>
      <c r="N375" s="15">
        <f t="shared" si="197"/>
        <v>0</v>
      </c>
      <c r="O375" s="15" t="str">
        <f t="shared" si="186"/>
        <v>NO</v>
      </c>
      <c r="P375" s="25" t="str">
        <f>IF(L375&lt;&gt;0, IF(L375="Gap", O375, IF(L376&lt;&gt;0,  IF(O375="NO", "NO", "YES"), IF(L377&lt;&gt;0, IF(AND(O375="NO", O376="NO"), "NO", "YES"), IF(L378&lt;&gt;0, IF(AND(O375="NO", O376="NO", O377="NO"), "NO", "YES"), IF(AND(O375="NO", O376="NO", O377="NO", O378="NO"), "NO", "YES"))))))</f>
        <v>NO</v>
      </c>
      <c r="Q375" s="25">
        <f>IF(L375=0,0,IF(L376&lt;&gt;0,N375,IF(L377&lt;&gt;0,N375+N376,IF(L378&lt;&gt;0,N375+N376+N377,IF(#REF!&lt;&gt;0,N375+N376+N377+N378,IF(#REF!&lt;&gt;0,N375+N376+N377+N378+#REF!,N375+N376+N377+N378+#REF!+#REF!))))))</f>
        <v>0</v>
      </c>
      <c r="R375" s="25">
        <f t="shared" si="187"/>
        <v>0</v>
      </c>
      <c r="S375" s="25">
        <f>IF(L375=0, 0, IF(L376&lt;&gt;0, R375, IF(L377&lt;&gt;0, R375+R376, IF(L378&lt;&gt;0, R375+R376+R377, IF(#REF!&lt;&gt;0, R375+R376+R377+R378, IF(#REF!&lt;&gt;0, R375+R376+R377+R378+#REF!, R375+R376+R377+R378+#REF!+#REF!))))))</f>
        <v>0</v>
      </c>
      <c r="T375" s="12" t="s">
        <v>7</v>
      </c>
      <c r="U375" s="12" t="s">
        <v>35</v>
      </c>
      <c r="V375" s="25">
        <f t="shared" si="189"/>
        <v>0</v>
      </c>
      <c r="W375" s="10">
        <f t="shared" si="195"/>
        <v>0</v>
      </c>
      <c r="Y375" s="1">
        <f>IF(L375="FULL",IF(L376=0,IF(L377=0,IF(L378=0,IF(#REF!=0,5,4),3),2),1),IF(L375=0,Y374,1))</f>
        <v>1</v>
      </c>
    </row>
    <row r="376" spans="1:25" outlineLevel="1" x14ac:dyDescent="0.25">
      <c r="A376" s="16"/>
      <c r="B376" s="16"/>
      <c r="C376" s="30">
        <v>0</v>
      </c>
      <c r="D376" s="17">
        <v>2</v>
      </c>
      <c r="E376" s="11">
        <f t="shared" si="191"/>
        <v>2</v>
      </c>
      <c r="F376" s="11">
        <f t="shared" si="183"/>
        <v>0</v>
      </c>
      <c r="G376" s="2">
        <f>VLOOKUP('930-4'!D376,Table1[],2,0)</f>
        <v>2.375</v>
      </c>
      <c r="H376" s="19">
        <f t="shared" si="192"/>
        <v>18.942050000000002</v>
      </c>
      <c r="I376" s="18">
        <f t="shared" si="196"/>
        <v>19</v>
      </c>
      <c r="J376" s="12">
        <v>40</v>
      </c>
      <c r="K376" s="12">
        <v>45</v>
      </c>
      <c r="L376" s="16" t="s">
        <v>13</v>
      </c>
      <c r="M376" s="14">
        <f t="shared" si="184"/>
        <v>0</v>
      </c>
      <c r="N376" s="15">
        <f t="shared" si="197"/>
        <v>0</v>
      </c>
      <c r="O376" s="15" t="str">
        <f t="shared" si="186"/>
        <v>NO</v>
      </c>
      <c r="P376" s="25" t="str">
        <f>IF(L376&lt;&gt;0, IF(L376="Gap", O376, IF(L377&lt;&gt;0,  IF(O376="NO", "NO", "YES"), IF(L378&lt;&gt;0, IF(AND(O376="NO", O377="NO"), "NO", "YES"), IF(#REF!&lt;&gt;0, IF(AND(O376="NO", O377="NO", O378="NO"), "NO", "YES"), IF(AND(O376="NO", O377="NO", O378="NO",#REF!= "NO"), "NO", "YES"))))))</f>
        <v>NO</v>
      </c>
      <c r="Q376" s="25">
        <f>IF(L376=0,0,IF(L377&lt;&gt;0,N376,IF(L378&lt;&gt;0,N376+N377,IF(#REF!&lt;&gt;0,N376+N377+N378,IF(#REF!&lt;&gt;0,N376+N377+N378+#REF!,IF(#REF!&lt;&gt;0,N376+N377+N378+#REF!+#REF!,N376+N377+N378+#REF!+#REF!+#REF!))))))</f>
        <v>0</v>
      </c>
      <c r="R376" s="25">
        <f t="shared" si="187"/>
        <v>0</v>
      </c>
      <c r="S376" s="25">
        <f>IF(L376=0, 0, IF(L377&lt;&gt;0, R376, IF(L378&lt;&gt;0, R376+R377, IF(#REF!&lt;&gt;0, R376+R377+R378, IF(#REF!&lt;&gt;0, R376+R377+R378+#REF!, IF(#REF!&lt;&gt;0, R376+R377+R378+#REF!+#REF!, R376+R377+R378+#REF!+#REF!+#REF!))))))</f>
        <v>0</v>
      </c>
      <c r="T376" s="12" t="s">
        <v>7</v>
      </c>
      <c r="U376" s="12" t="s">
        <v>35</v>
      </c>
      <c r="V376" s="25">
        <f t="shared" si="189"/>
        <v>0</v>
      </c>
      <c r="W376" s="10">
        <f t="shared" si="195"/>
        <v>0</v>
      </c>
      <c r="Y376" s="1">
        <f>IF(L376="FULL",IF(L377=0,IF(L378=0,IF(#REF!=0,IF(#REF!=0,5,4),3),2),1),IF(L376=0,Y375,1))</f>
        <v>1</v>
      </c>
    </row>
    <row r="377" spans="1:25" ht="15" customHeight="1" outlineLevel="1" x14ac:dyDescent="0.25">
      <c r="A377" s="29" t="s">
        <v>20</v>
      </c>
      <c r="B377" s="29" t="s">
        <v>20</v>
      </c>
      <c r="C377" s="29" t="s">
        <v>20</v>
      </c>
      <c r="D377" s="29" t="s">
        <v>20</v>
      </c>
      <c r="E377" s="29" t="s">
        <v>20</v>
      </c>
      <c r="F377" s="29"/>
      <c r="G377" s="29" t="s">
        <v>20</v>
      </c>
      <c r="H377" s="29" t="s">
        <v>20</v>
      </c>
      <c r="I377" s="29" t="s">
        <v>20</v>
      </c>
      <c r="J377" s="29" t="s">
        <v>20</v>
      </c>
      <c r="K377" s="29" t="s">
        <v>20</v>
      </c>
      <c r="L377" s="29" t="s">
        <v>20</v>
      </c>
      <c r="M377" s="29" t="s">
        <v>20</v>
      </c>
      <c r="N377" s="29" t="s">
        <v>20</v>
      </c>
      <c r="O377" s="29" t="s">
        <v>20</v>
      </c>
      <c r="P377" s="29" t="s">
        <v>20</v>
      </c>
      <c r="Q377" s="29" t="s">
        <v>20</v>
      </c>
      <c r="R377" s="29" t="s">
        <v>20</v>
      </c>
      <c r="S377" s="29" t="s">
        <v>20</v>
      </c>
      <c r="T377" s="29" t="s">
        <v>20</v>
      </c>
      <c r="U377" s="29" t="s">
        <v>20</v>
      </c>
      <c r="V377" s="29" t="s">
        <v>20</v>
      </c>
      <c r="W377" s="29" t="s">
        <v>20</v>
      </c>
      <c r="Y377" s="1">
        <f>IF(L377="FULL",IF(L378=0,IF(#REF!=0,IF(#REF!=0,IF(#REF!=0,5,4),3),2),1),IF(L377=0,Y376,1))</f>
        <v>1</v>
      </c>
    </row>
    <row r="378" spans="1:25" ht="15.75" thickBot="1" x14ac:dyDescent="0.3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21"/>
      <c r="N378" s="21"/>
      <c r="O378" s="21"/>
      <c r="P378" s="21"/>
      <c r="Q378" s="31">
        <f>SUM(Q361:Q376)</f>
        <v>55</v>
      </c>
      <c r="R378" s="31"/>
      <c r="S378" s="31">
        <f>SUM(R361:R376)</f>
        <v>55</v>
      </c>
      <c r="T378" s="31"/>
      <c r="U378" s="20"/>
      <c r="V378" s="21">
        <f>IF(COUNTIF(V361:V376,  "Segment Error")=0, IF(AND(SUM(V361:V376)&lt;50, COUNTIF(P361:P376, "YES")=0), 50, SUM(V361:V376)), "Segment Error")</f>
        <v>55</v>
      </c>
      <c r="W378" s="22">
        <f>V378*2400000</f>
        <v>132000000</v>
      </c>
      <c r="Y378" s="1">
        <f>IF(L378="FULL",IF(#REF!=0,IF(#REF!=0,IF(#REF!=0,IF(#REF!=0,5,4),3),2),1),IF(L378=0,Y377,1))</f>
        <v>1</v>
      </c>
    </row>
    <row r="379" spans="1:25" ht="30" customHeight="1" x14ac:dyDescent="0.25">
      <c r="A379" s="28"/>
      <c r="X379" s="1"/>
    </row>
    <row r="380" spans="1:25" outlineLevel="1" x14ac:dyDescent="0.25">
      <c r="A380" s="28"/>
      <c r="X380" s="1"/>
    </row>
    <row r="381" spans="1:25" outlineLevel="1" x14ac:dyDescent="0.25">
      <c r="A381" s="28"/>
      <c r="X381" s="1"/>
    </row>
    <row r="382" spans="1:25" outlineLevel="1" x14ac:dyDescent="0.25">
      <c r="A382" s="33"/>
      <c r="X382" s="1"/>
    </row>
    <row r="383" spans="1:25" outlineLevel="1" x14ac:dyDescent="0.25">
      <c r="A383" s="28"/>
      <c r="X383" s="1"/>
    </row>
    <row r="384" spans="1:25" outlineLevel="1" x14ac:dyDescent="0.25">
      <c r="A384" s="28"/>
      <c r="X384" s="1"/>
    </row>
    <row r="385" spans="1:24" outlineLevel="1" x14ac:dyDescent="0.25">
      <c r="A385" s="28"/>
      <c r="X385" s="1"/>
    </row>
    <row r="386" spans="1:24" outlineLevel="1" x14ac:dyDescent="0.25">
      <c r="A386" s="28"/>
      <c r="X386" s="1"/>
    </row>
    <row r="387" spans="1:24" outlineLevel="1" x14ac:dyDescent="0.25">
      <c r="A387" s="28"/>
      <c r="X387" s="1"/>
    </row>
    <row r="388" spans="1:24" outlineLevel="1" x14ac:dyDescent="0.25">
      <c r="A388" s="28"/>
      <c r="X388" s="1"/>
    </row>
    <row r="389" spans="1:24" outlineLevel="1" x14ac:dyDescent="0.25">
      <c r="A389" s="28"/>
      <c r="X389" s="1"/>
    </row>
    <row r="390" spans="1:24" outlineLevel="1" x14ac:dyDescent="0.25">
      <c r="A390" s="28"/>
      <c r="X390" s="1"/>
    </row>
    <row r="391" spans="1:24" outlineLevel="1" x14ac:dyDescent="0.25">
      <c r="A391" s="28"/>
      <c r="X391" s="1"/>
    </row>
    <row r="392" spans="1:24" outlineLevel="1" x14ac:dyDescent="0.25">
      <c r="A392" s="28"/>
      <c r="X392" s="1"/>
    </row>
    <row r="393" spans="1:24" outlineLevel="1" x14ac:dyDescent="0.25">
      <c r="A393" s="28"/>
      <c r="X393" s="1"/>
    </row>
    <row r="394" spans="1:24" outlineLevel="1" x14ac:dyDescent="0.25">
      <c r="A394" s="28"/>
      <c r="X394" s="1"/>
    </row>
    <row r="395" spans="1:24" outlineLevel="1" x14ac:dyDescent="0.25">
      <c r="A395" s="28"/>
      <c r="X395" s="1"/>
    </row>
    <row r="396" spans="1:24" ht="15" customHeight="1" outlineLevel="1" x14ac:dyDescent="0.25">
      <c r="A396" s="28"/>
      <c r="X396" s="1"/>
    </row>
    <row r="397" spans="1:24" x14ac:dyDescent="0.25">
      <c r="A397" s="28"/>
      <c r="X397" s="1"/>
    </row>
    <row r="398" spans="1:24" ht="27" customHeight="1" x14ac:dyDescent="0.25">
      <c r="A398" s="28"/>
      <c r="X398" s="1"/>
    </row>
    <row r="399" spans="1:24" ht="15" hidden="1" customHeight="1" x14ac:dyDescent="0.25">
      <c r="A399" s="28"/>
      <c r="X399" s="1"/>
    </row>
    <row r="400" spans="1:24" ht="15" hidden="1" customHeight="1" x14ac:dyDescent="0.25">
      <c r="A400" s="28"/>
      <c r="X400" s="1"/>
    </row>
    <row r="401" spans="1:24" ht="15" hidden="1" customHeight="1" thickBot="1" x14ac:dyDescent="0.25">
      <c r="A401" s="28"/>
      <c r="X401" s="1"/>
    </row>
    <row r="402" spans="1:24" x14ac:dyDescent="0.25">
      <c r="A402" s="28"/>
      <c r="X402" s="1"/>
    </row>
    <row r="403" spans="1:24" ht="30" customHeight="1" x14ac:dyDescent="0.25">
      <c r="A403" s="28"/>
      <c r="X403" s="1"/>
    </row>
    <row r="404" spans="1:24" ht="30" customHeight="1" x14ac:dyDescent="0.25">
      <c r="A404" s="28"/>
      <c r="X404" s="1"/>
    </row>
    <row r="405" spans="1:24" outlineLevel="1" x14ac:dyDescent="0.25">
      <c r="A405" s="28"/>
      <c r="X405" s="1"/>
    </row>
    <row r="406" spans="1:24" outlineLevel="1" x14ac:dyDescent="0.25">
      <c r="A406" s="28"/>
      <c r="X406" s="1"/>
    </row>
    <row r="407" spans="1:24" outlineLevel="1" x14ac:dyDescent="0.25">
      <c r="A407" s="33"/>
      <c r="X407" s="1"/>
    </row>
    <row r="408" spans="1:24" outlineLevel="1" x14ac:dyDescent="0.25">
      <c r="A408" s="28"/>
      <c r="X408" s="1"/>
    </row>
    <row r="409" spans="1:24" outlineLevel="1" x14ac:dyDescent="0.25">
      <c r="A409" s="28"/>
      <c r="X409" s="1"/>
    </row>
    <row r="410" spans="1:24" outlineLevel="1" x14ac:dyDescent="0.25">
      <c r="A410" s="28"/>
      <c r="X410" s="1"/>
    </row>
    <row r="411" spans="1:24" outlineLevel="1" x14ac:dyDescent="0.25">
      <c r="A411" s="28"/>
      <c r="X411" s="1"/>
    </row>
    <row r="412" spans="1:24" outlineLevel="1" x14ac:dyDescent="0.25">
      <c r="A412" s="28"/>
      <c r="X412" s="1"/>
    </row>
    <row r="413" spans="1:24" outlineLevel="1" x14ac:dyDescent="0.25">
      <c r="A413" s="28"/>
      <c r="X413" s="1"/>
    </row>
    <row r="414" spans="1:24" outlineLevel="1" x14ac:dyDescent="0.25">
      <c r="A414" s="28"/>
      <c r="X414" s="1"/>
    </row>
    <row r="415" spans="1:24" outlineLevel="1" x14ac:dyDescent="0.25">
      <c r="A415" s="28"/>
      <c r="X415" s="1"/>
    </row>
    <row r="416" spans="1:24" outlineLevel="1" x14ac:dyDescent="0.25">
      <c r="A416" s="28"/>
      <c r="X416" s="1"/>
    </row>
    <row r="417" spans="1:24" outlineLevel="1" x14ac:dyDescent="0.25">
      <c r="A417" s="28"/>
      <c r="X417" s="1"/>
    </row>
    <row r="418" spans="1:24" outlineLevel="1" x14ac:dyDescent="0.25">
      <c r="A418" s="28"/>
      <c r="X418" s="1"/>
    </row>
    <row r="419" spans="1:24" outlineLevel="1" x14ac:dyDescent="0.25">
      <c r="A419" s="28"/>
      <c r="X419" s="1"/>
    </row>
    <row r="420" spans="1:24" outlineLevel="1" x14ac:dyDescent="0.25">
      <c r="A420" s="28"/>
      <c r="X420" s="1"/>
    </row>
    <row r="421" spans="1:24" ht="15" customHeight="1" outlineLevel="1" x14ac:dyDescent="0.25">
      <c r="A421" s="28"/>
      <c r="X421" s="1"/>
    </row>
    <row r="422" spans="1:24" x14ac:dyDescent="0.25">
      <c r="A422" s="28"/>
      <c r="X422" s="1"/>
    </row>
    <row r="423" spans="1:24" ht="27" customHeight="1" x14ac:dyDescent="0.25">
      <c r="A423" s="28"/>
      <c r="X423" s="1"/>
    </row>
    <row r="424" spans="1:24" ht="15" hidden="1" customHeight="1" x14ac:dyDescent="0.25">
      <c r="A424" s="28"/>
      <c r="X424" s="1"/>
    </row>
    <row r="425" spans="1:24" ht="15" hidden="1" customHeight="1" x14ac:dyDescent="0.25">
      <c r="A425" s="28"/>
      <c r="X425" s="1"/>
    </row>
    <row r="426" spans="1:24" ht="15" hidden="1" customHeight="1" thickBot="1" x14ac:dyDescent="0.3">
      <c r="A426" s="28"/>
      <c r="X426" s="1"/>
    </row>
    <row r="427" spans="1:24" x14ac:dyDescent="0.25">
      <c r="A427" s="28"/>
      <c r="X427" s="1"/>
    </row>
    <row r="428" spans="1:24" ht="30" customHeight="1" x14ac:dyDescent="0.25">
      <c r="A428" s="28"/>
      <c r="X428" s="1"/>
    </row>
    <row r="429" spans="1:24" ht="30" customHeight="1" x14ac:dyDescent="0.25">
      <c r="A429" s="28"/>
      <c r="X429" s="1"/>
    </row>
    <row r="430" spans="1:24" outlineLevel="1" x14ac:dyDescent="0.25">
      <c r="A430" s="28"/>
      <c r="X430" s="1"/>
    </row>
    <row r="431" spans="1:24" outlineLevel="1" x14ac:dyDescent="0.25">
      <c r="A431" s="28"/>
      <c r="X431" s="1"/>
    </row>
    <row r="432" spans="1:24" outlineLevel="1" x14ac:dyDescent="0.25">
      <c r="A432" s="33"/>
      <c r="X432" s="1"/>
    </row>
    <row r="433" spans="1:24" outlineLevel="1" x14ac:dyDescent="0.25">
      <c r="A433" s="28"/>
      <c r="X433" s="1"/>
    </row>
    <row r="434" spans="1:24" outlineLevel="1" x14ac:dyDescent="0.25">
      <c r="A434" s="28"/>
      <c r="X434" s="1"/>
    </row>
    <row r="435" spans="1:24" outlineLevel="1" x14ac:dyDescent="0.25">
      <c r="A435" s="28"/>
      <c r="X435" s="1"/>
    </row>
    <row r="436" spans="1:24" outlineLevel="1" x14ac:dyDescent="0.25">
      <c r="A436" s="28"/>
      <c r="X436" s="1"/>
    </row>
    <row r="437" spans="1:24" outlineLevel="1" x14ac:dyDescent="0.25">
      <c r="A437" s="28"/>
      <c r="X437" s="1"/>
    </row>
    <row r="438" spans="1:24" outlineLevel="1" x14ac:dyDescent="0.25">
      <c r="A438" s="28"/>
      <c r="X438" s="1"/>
    </row>
    <row r="439" spans="1:24" outlineLevel="1" x14ac:dyDescent="0.25">
      <c r="A439" s="28"/>
      <c r="X439" s="1"/>
    </row>
    <row r="440" spans="1:24" outlineLevel="1" x14ac:dyDescent="0.25">
      <c r="A440" s="28"/>
      <c r="X440" s="1"/>
    </row>
    <row r="441" spans="1:24" outlineLevel="1" x14ac:dyDescent="0.25">
      <c r="A441" s="28"/>
      <c r="X441" s="1"/>
    </row>
    <row r="442" spans="1:24" outlineLevel="1" x14ac:dyDescent="0.25">
      <c r="A442" s="28"/>
      <c r="X442" s="1"/>
    </row>
    <row r="443" spans="1:24" outlineLevel="1" x14ac:dyDescent="0.25">
      <c r="A443" s="28"/>
      <c r="X443" s="1"/>
    </row>
    <row r="444" spans="1:24" outlineLevel="1" x14ac:dyDescent="0.25">
      <c r="A444" s="28"/>
      <c r="X444" s="1"/>
    </row>
    <row r="445" spans="1:24" outlineLevel="1" x14ac:dyDescent="0.25">
      <c r="A445" s="28"/>
      <c r="X445" s="1"/>
    </row>
    <row r="446" spans="1:24" ht="15" customHeight="1" outlineLevel="1" x14ac:dyDescent="0.25">
      <c r="A446" s="28"/>
      <c r="X446" s="1"/>
    </row>
    <row r="447" spans="1:24" x14ac:dyDescent="0.25">
      <c r="A447" s="28"/>
      <c r="X447" s="1"/>
    </row>
    <row r="448" spans="1:24" ht="27" customHeight="1" x14ac:dyDescent="0.25">
      <c r="A448" s="28"/>
      <c r="X448" s="1"/>
    </row>
    <row r="449" spans="1:24" ht="15" hidden="1" customHeight="1" x14ac:dyDescent="0.25">
      <c r="A449" s="28"/>
      <c r="X449" s="1"/>
    </row>
    <row r="450" spans="1:24" ht="15" hidden="1" customHeight="1" x14ac:dyDescent="0.25">
      <c r="A450" s="28"/>
      <c r="X450" s="1"/>
    </row>
    <row r="451" spans="1:24" ht="15" hidden="1" customHeight="1" thickBot="1" x14ac:dyDescent="0.3">
      <c r="A451" s="28"/>
      <c r="X451" s="1"/>
    </row>
    <row r="452" spans="1:24" x14ac:dyDescent="0.25">
      <c r="A452" s="28"/>
      <c r="X452" s="1"/>
    </row>
    <row r="453" spans="1:24" ht="30" customHeight="1" x14ac:dyDescent="0.25">
      <c r="A453" s="28"/>
      <c r="X453" s="1"/>
    </row>
    <row r="454" spans="1:24" ht="30" customHeight="1" x14ac:dyDescent="0.25">
      <c r="A454" s="28"/>
      <c r="X454" s="1"/>
    </row>
    <row r="455" spans="1:24" outlineLevel="1" x14ac:dyDescent="0.25">
      <c r="A455" s="28"/>
      <c r="X455" s="1"/>
    </row>
    <row r="456" spans="1:24" outlineLevel="1" x14ac:dyDescent="0.25">
      <c r="A456" s="28"/>
      <c r="X456" s="1"/>
    </row>
    <row r="457" spans="1:24" outlineLevel="1" x14ac:dyDescent="0.25">
      <c r="A457" s="33"/>
      <c r="X457" s="1"/>
    </row>
    <row r="458" spans="1:24" outlineLevel="1" x14ac:dyDescent="0.25">
      <c r="A458" s="28"/>
      <c r="X458" s="1"/>
    </row>
    <row r="459" spans="1:24" outlineLevel="1" x14ac:dyDescent="0.25">
      <c r="A459" s="28"/>
      <c r="X459" s="1"/>
    </row>
    <row r="460" spans="1:24" outlineLevel="1" x14ac:dyDescent="0.25">
      <c r="A460" s="28"/>
      <c r="X460" s="1"/>
    </row>
    <row r="461" spans="1:24" outlineLevel="1" x14ac:dyDescent="0.25">
      <c r="A461" s="28"/>
      <c r="X461" s="1"/>
    </row>
    <row r="462" spans="1:24" outlineLevel="1" x14ac:dyDescent="0.25">
      <c r="A462" s="28"/>
      <c r="X462" s="1"/>
    </row>
    <row r="463" spans="1:24" outlineLevel="1" x14ac:dyDescent="0.25">
      <c r="A463" s="28"/>
      <c r="X463" s="1"/>
    </row>
    <row r="464" spans="1:24" outlineLevel="1" x14ac:dyDescent="0.25">
      <c r="A464" s="28"/>
      <c r="X464" s="1"/>
    </row>
    <row r="465" spans="1:24" outlineLevel="1" x14ac:dyDescent="0.25">
      <c r="A465" s="28"/>
      <c r="X465" s="1"/>
    </row>
    <row r="466" spans="1:24" outlineLevel="1" x14ac:dyDescent="0.25">
      <c r="A466" s="28"/>
      <c r="X466" s="1"/>
    </row>
    <row r="467" spans="1:24" outlineLevel="1" x14ac:dyDescent="0.25">
      <c r="A467" s="28"/>
      <c r="X467" s="1"/>
    </row>
    <row r="468" spans="1:24" outlineLevel="1" x14ac:dyDescent="0.25">
      <c r="A468" s="28"/>
      <c r="X468" s="1"/>
    </row>
    <row r="469" spans="1:24" outlineLevel="1" x14ac:dyDescent="0.25">
      <c r="A469" s="28"/>
      <c r="X469" s="1"/>
    </row>
    <row r="470" spans="1:24" outlineLevel="1" x14ac:dyDescent="0.25">
      <c r="A470" s="28"/>
      <c r="X470" s="1"/>
    </row>
    <row r="471" spans="1:24" ht="15" customHeight="1" outlineLevel="1" x14ac:dyDescent="0.25">
      <c r="A471" s="28"/>
      <c r="X471" s="1"/>
    </row>
    <row r="472" spans="1:24" x14ac:dyDescent="0.25">
      <c r="A472" s="28"/>
      <c r="X472" s="1"/>
    </row>
  </sheetData>
  <sheetProtection insertRows="0"/>
  <mergeCells count="390">
    <mergeCell ref="L318:L319"/>
    <mergeCell ref="L321:L322"/>
    <mergeCell ref="L323:L324"/>
    <mergeCell ref="A328:L328"/>
    <mergeCell ref="A304:W308"/>
    <mergeCell ref="A309:A310"/>
    <mergeCell ref="B309:B310"/>
    <mergeCell ref="C309:C310"/>
    <mergeCell ref="D309:D310"/>
    <mergeCell ref="E309:E310"/>
    <mergeCell ref="F309:F310"/>
    <mergeCell ref="G309:G310"/>
    <mergeCell ref="H309:H310"/>
    <mergeCell ref="I309:I310"/>
    <mergeCell ref="J309:L309"/>
    <mergeCell ref="M309:M310"/>
    <mergeCell ref="N309:N310"/>
    <mergeCell ref="O309:O310"/>
    <mergeCell ref="P309:P310"/>
    <mergeCell ref="Q309:Q310"/>
    <mergeCell ref="R309:R310"/>
    <mergeCell ref="S309:S310"/>
    <mergeCell ref="T309:T310"/>
    <mergeCell ref="U309:U310"/>
    <mergeCell ref="V309:V310"/>
    <mergeCell ref="W309:W310"/>
    <mergeCell ref="V284:V285"/>
    <mergeCell ref="W284:W285"/>
    <mergeCell ref="L293:L294"/>
    <mergeCell ref="L296:L297"/>
    <mergeCell ref="L298:L299"/>
    <mergeCell ref="A303:L303"/>
    <mergeCell ref="L268:L269"/>
    <mergeCell ref="L271:L272"/>
    <mergeCell ref="L273:L274"/>
    <mergeCell ref="A278:L278"/>
    <mergeCell ref="A279:W283"/>
    <mergeCell ref="A284:A285"/>
    <mergeCell ref="B284:B285"/>
    <mergeCell ref="C284:C285"/>
    <mergeCell ref="D284:D285"/>
    <mergeCell ref="E284:E285"/>
    <mergeCell ref="F284:F285"/>
    <mergeCell ref="G284:G285"/>
    <mergeCell ref="H284:H285"/>
    <mergeCell ref="I284:I285"/>
    <mergeCell ref="J284:L284"/>
    <mergeCell ref="M284:M285"/>
    <mergeCell ref="N284:N285"/>
    <mergeCell ref="O284:O285"/>
    <mergeCell ref="P284:P285"/>
    <mergeCell ref="Q284:Q285"/>
    <mergeCell ref="R284:R285"/>
    <mergeCell ref="S284:S285"/>
    <mergeCell ref="T284:T285"/>
    <mergeCell ref="U284:U285"/>
    <mergeCell ref="A254:W258"/>
    <mergeCell ref="A259:A260"/>
    <mergeCell ref="B259:B260"/>
    <mergeCell ref="C259:C260"/>
    <mergeCell ref="D259:D260"/>
    <mergeCell ref="E259:E260"/>
    <mergeCell ref="F259:F260"/>
    <mergeCell ref="G259:G260"/>
    <mergeCell ref="H259:H260"/>
    <mergeCell ref="I259:I260"/>
    <mergeCell ref="J259:L259"/>
    <mergeCell ref="M259:M260"/>
    <mergeCell ref="N259:N260"/>
    <mergeCell ref="O259:O260"/>
    <mergeCell ref="P259:P260"/>
    <mergeCell ref="Q259:Q260"/>
    <mergeCell ref="R259:R260"/>
    <mergeCell ref="S259:S260"/>
    <mergeCell ref="T259:T260"/>
    <mergeCell ref="U259:U260"/>
    <mergeCell ref="V259:V260"/>
    <mergeCell ref="W259:W260"/>
    <mergeCell ref="A1:W5"/>
    <mergeCell ref="A6:A7"/>
    <mergeCell ref="B6:B7"/>
    <mergeCell ref="C6:C7"/>
    <mergeCell ref="D6:D7"/>
    <mergeCell ref="E6:E7"/>
    <mergeCell ref="F6:F7"/>
    <mergeCell ref="G6:G7"/>
    <mergeCell ref="H6:H7"/>
    <mergeCell ref="I6:I7"/>
    <mergeCell ref="R6:R7"/>
    <mergeCell ref="S6:S7"/>
    <mergeCell ref="T6:T7"/>
    <mergeCell ref="U6:U7"/>
    <mergeCell ref="V6:V7"/>
    <mergeCell ref="W6:W7"/>
    <mergeCell ref="J6:L6"/>
    <mergeCell ref="M6:M7"/>
    <mergeCell ref="N6:N7"/>
    <mergeCell ref="O6:O7"/>
    <mergeCell ref="P6:P7"/>
    <mergeCell ref="Q6:Q7"/>
    <mergeCell ref="F31:F32"/>
    <mergeCell ref="G31:G32"/>
    <mergeCell ref="H31:H32"/>
    <mergeCell ref="I31:I32"/>
    <mergeCell ref="J31:L31"/>
    <mergeCell ref="M31:M32"/>
    <mergeCell ref="L15:L16"/>
    <mergeCell ref="L18:L19"/>
    <mergeCell ref="L20:L21"/>
    <mergeCell ref="A25:L25"/>
    <mergeCell ref="A26:W30"/>
    <mergeCell ref="A31:A32"/>
    <mergeCell ref="B31:B32"/>
    <mergeCell ref="C31:C32"/>
    <mergeCell ref="D31:D32"/>
    <mergeCell ref="E31:E32"/>
    <mergeCell ref="T31:T32"/>
    <mergeCell ref="U31:U32"/>
    <mergeCell ref="V31:V32"/>
    <mergeCell ref="W31:W32"/>
    <mergeCell ref="L40:L41"/>
    <mergeCell ref="L43:L44"/>
    <mergeCell ref="N31:N32"/>
    <mergeCell ref="O31:O32"/>
    <mergeCell ref="P31:P32"/>
    <mergeCell ref="Q31:Q32"/>
    <mergeCell ref="R31:R32"/>
    <mergeCell ref="S31:S32"/>
    <mergeCell ref="L45:L46"/>
    <mergeCell ref="A50:L50"/>
    <mergeCell ref="A51:W55"/>
    <mergeCell ref="A56:A57"/>
    <mergeCell ref="B56:B57"/>
    <mergeCell ref="C56:C57"/>
    <mergeCell ref="D56:D57"/>
    <mergeCell ref="E56:E57"/>
    <mergeCell ref="F56:F57"/>
    <mergeCell ref="G56:G57"/>
    <mergeCell ref="V56:V57"/>
    <mergeCell ref="W56:W57"/>
    <mergeCell ref="U56:U57"/>
    <mergeCell ref="L65:L66"/>
    <mergeCell ref="L68:L69"/>
    <mergeCell ref="L70:L71"/>
    <mergeCell ref="A75:L75"/>
    <mergeCell ref="P56:P57"/>
    <mergeCell ref="Q56:Q57"/>
    <mergeCell ref="R56:R57"/>
    <mergeCell ref="S56:S57"/>
    <mergeCell ref="T56:T57"/>
    <mergeCell ref="H56:H57"/>
    <mergeCell ref="I56:I57"/>
    <mergeCell ref="J56:L56"/>
    <mergeCell ref="M56:M57"/>
    <mergeCell ref="N56:N57"/>
    <mergeCell ref="O56:O57"/>
    <mergeCell ref="A76:W80"/>
    <mergeCell ref="A81:A82"/>
    <mergeCell ref="B81:B82"/>
    <mergeCell ref="C81:C82"/>
    <mergeCell ref="D81:D82"/>
    <mergeCell ref="E81:E82"/>
    <mergeCell ref="F81:F82"/>
    <mergeCell ref="G81:G82"/>
    <mergeCell ref="H81:H82"/>
    <mergeCell ref="I81:I82"/>
    <mergeCell ref="R81:R82"/>
    <mergeCell ref="S81:S82"/>
    <mergeCell ref="T81:T82"/>
    <mergeCell ref="U81:U82"/>
    <mergeCell ref="V81:V82"/>
    <mergeCell ref="W81:W82"/>
    <mergeCell ref="J81:L81"/>
    <mergeCell ref="M81:M82"/>
    <mergeCell ref="N81:N82"/>
    <mergeCell ref="O81:O82"/>
    <mergeCell ref="P81:P82"/>
    <mergeCell ref="Q81:Q82"/>
    <mergeCell ref="F106:F107"/>
    <mergeCell ref="G106:G107"/>
    <mergeCell ref="H106:H107"/>
    <mergeCell ref="I106:I107"/>
    <mergeCell ref="J106:L106"/>
    <mergeCell ref="M106:M107"/>
    <mergeCell ref="L90:L91"/>
    <mergeCell ref="L93:L94"/>
    <mergeCell ref="L95:L96"/>
    <mergeCell ref="A100:L100"/>
    <mergeCell ref="A101:W105"/>
    <mergeCell ref="A106:A107"/>
    <mergeCell ref="B106:B107"/>
    <mergeCell ref="C106:C107"/>
    <mergeCell ref="D106:D107"/>
    <mergeCell ref="E106:E107"/>
    <mergeCell ref="T106:T107"/>
    <mergeCell ref="U106:U107"/>
    <mergeCell ref="V106:V107"/>
    <mergeCell ref="W106:W107"/>
    <mergeCell ref="L115:L116"/>
    <mergeCell ref="L118:L119"/>
    <mergeCell ref="N106:N107"/>
    <mergeCell ref="O106:O107"/>
    <mergeCell ref="P106:P107"/>
    <mergeCell ref="Q106:Q107"/>
    <mergeCell ref="R106:R107"/>
    <mergeCell ref="S106:S107"/>
    <mergeCell ref="L120:L121"/>
    <mergeCell ref="A125:L125"/>
    <mergeCell ref="A126:W130"/>
    <mergeCell ref="A131:A132"/>
    <mergeCell ref="B131:B132"/>
    <mergeCell ref="C131:C132"/>
    <mergeCell ref="D131:D132"/>
    <mergeCell ref="E131:E132"/>
    <mergeCell ref="F131:F132"/>
    <mergeCell ref="G131:G132"/>
    <mergeCell ref="V131:V132"/>
    <mergeCell ref="W131:W132"/>
    <mergeCell ref="U131:U132"/>
    <mergeCell ref="L140:L141"/>
    <mergeCell ref="L143:L144"/>
    <mergeCell ref="L145:L146"/>
    <mergeCell ref="A150:L150"/>
    <mergeCell ref="P131:P132"/>
    <mergeCell ref="Q131:Q132"/>
    <mergeCell ref="R131:R132"/>
    <mergeCell ref="S131:S132"/>
    <mergeCell ref="T131:T132"/>
    <mergeCell ref="H131:H132"/>
    <mergeCell ref="I131:I132"/>
    <mergeCell ref="J131:L131"/>
    <mergeCell ref="M131:M132"/>
    <mergeCell ref="N131:N132"/>
    <mergeCell ref="O131:O132"/>
    <mergeCell ref="A151:W155"/>
    <mergeCell ref="A156:A157"/>
    <mergeCell ref="B156:B157"/>
    <mergeCell ref="C156:C157"/>
    <mergeCell ref="D156:D157"/>
    <mergeCell ref="E156:E157"/>
    <mergeCell ref="F156:F157"/>
    <mergeCell ref="G156:G157"/>
    <mergeCell ref="H156:H157"/>
    <mergeCell ref="I156:I157"/>
    <mergeCell ref="R156:R157"/>
    <mergeCell ref="S156:S157"/>
    <mergeCell ref="T156:T157"/>
    <mergeCell ref="U156:U157"/>
    <mergeCell ref="V156:V157"/>
    <mergeCell ref="W156:W157"/>
    <mergeCell ref="J156:L156"/>
    <mergeCell ref="M156:M157"/>
    <mergeCell ref="N156:N157"/>
    <mergeCell ref="O156:O157"/>
    <mergeCell ref="P156:P157"/>
    <mergeCell ref="Q156:Q157"/>
    <mergeCell ref="F181:F182"/>
    <mergeCell ref="G181:G182"/>
    <mergeCell ref="H181:H182"/>
    <mergeCell ref="I181:I182"/>
    <mergeCell ref="J181:L181"/>
    <mergeCell ref="M181:M182"/>
    <mergeCell ref="L165:L166"/>
    <mergeCell ref="L168:L169"/>
    <mergeCell ref="L170:L171"/>
    <mergeCell ref="A175:L175"/>
    <mergeCell ref="A176:W180"/>
    <mergeCell ref="A181:A182"/>
    <mergeCell ref="B181:B182"/>
    <mergeCell ref="C181:C182"/>
    <mergeCell ref="D181:D182"/>
    <mergeCell ref="E181:E182"/>
    <mergeCell ref="T181:T182"/>
    <mergeCell ref="U181:U182"/>
    <mergeCell ref="V181:V182"/>
    <mergeCell ref="W181:W182"/>
    <mergeCell ref="L190:L191"/>
    <mergeCell ref="L193:L194"/>
    <mergeCell ref="N181:N182"/>
    <mergeCell ref="O181:O182"/>
    <mergeCell ref="P181:P182"/>
    <mergeCell ref="Q181:Q182"/>
    <mergeCell ref="R181:R182"/>
    <mergeCell ref="S181:S182"/>
    <mergeCell ref="L195:L196"/>
    <mergeCell ref="A200:L200"/>
    <mergeCell ref="A201:W205"/>
    <mergeCell ref="A206:A207"/>
    <mergeCell ref="B206:B207"/>
    <mergeCell ref="C206:C207"/>
    <mergeCell ref="D206:D207"/>
    <mergeCell ref="E206:E207"/>
    <mergeCell ref="F206:F207"/>
    <mergeCell ref="G206:G207"/>
    <mergeCell ref="V206:V207"/>
    <mergeCell ref="W206:W207"/>
    <mergeCell ref="U206:U207"/>
    <mergeCell ref="P206:P207"/>
    <mergeCell ref="Q206:Q207"/>
    <mergeCell ref="R206:R207"/>
    <mergeCell ref="S206:S207"/>
    <mergeCell ref="T206:T207"/>
    <mergeCell ref="H206:H207"/>
    <mergeCell ref="I206:I207"/>
    <mergeCell ref="J206:L206"/>
    <mergeCell ref="M206:M207"/>
    <mergeCell ref="N206:N207"/>
    <mergeCell ref="O206:O207"/>
    <mergeCell ref="J231:L231"/>
    <mergeCell ref="M231:M232"/>
    <mergeCell ref="N231:N232"/>
    <mergeCell ref="O231:O232"/>
    <mergeCell ref="P231:P232"/>
    <mergeCell ref="Q231:Q232"/>
    <mergeCell ref="L215:L216"/>
    <mergeCell ref="L218:L219"/>
    <mergeCell ref="L220:L221"/>
    <mergeCell ref="A225:L225"/>
    <mergeCell ref="R334:R335"/>
    <mergeCell ref="S334:S335"/>
    <mergeCell ref="A359:A360"/>
    <mergeCell ref="B359:B360"/>
    <mergeCell ref="L240:L241"/>
    <mergeCell ref="L243:L244"/>
    <mergeCell ref="L245:L246"/>
    <mergeCell ref="A250:L250"/>
    <mergeCell ref="A226:W230"/>
    <mergeCell ref="A231:A232"/>
    <mergeCell ref="B231:B232"/>
    <mergeCell ref="C231:C232"/>
    <mergeCell ref="D231:D232"/>
    <mergeCell ref="E231:E232"/>
    <mergeCell ref="F231:F232"/>
    <mergeCell ref="G231:G232"/>
    <mergeCell ref="H231:H232"/>
    <mergeCell ref="I231:I232"/>
    <mergeCell ref="R231:R232"/>
    <mergeCell ref="S231:S232"/>
    <mergeCell ref="T231:T232"/>
    <mergeCell ref="U231:U232"/>
    <mergeCell ref="V231:V232"/>
    <mergeCell ref="W231:W232"/>
    <mergeCell ref="T334:T335"/>
    <mergeCell ref="U334:U335"/>
    <mergeCell ref="V334:V335"/>
    <mergeCell ref="W334:W335"/>
    <mergeCell ref="L343:L344"/>
    <mergeCell ref="L346:L347"/>
    <mergeCell ref="L348:L349"/>
    <mergeCell ref="A353:L353"/>
    <mergeCell ref="A329:W333"/>
    <mergeCell ref="A334:A335"/>
    <mergeCell ref="B334:B335"/>
    <mergeCell ref="C334:C335"/>
    <mergeCell ref="D334:D335"/>
    <mergeCell ref="E334:E335"/>
    <mergeCell ref="F334:F335"/>
    <mergeCell ref="G334:G335"/>
    <mergeCell ref="H334:H335"/>
    <mergeCell ref="I334:I335"/>
    <mergeCell ref="J334:L334"/>
    <mergeCell ref="M334:M335"/>
    <mergeCell ref="N334:N335"/>
    <mergeCell ref="O334:O335"/>
    <mergeCell ref="P334:P335"/>
    <mergeCell ref="Q334:Q335"/>
    <mergeCell ref="W359:W360"/>
    <mergeCell ref="L368:L369"/>
    <mergeCell ref="L371:L372"/>
    <mergeCell ref="L373:L374"/>
    <mergeCell ref="A378:L378"/>
    <mergeCell ref="A354:W358"/>
    <mergeCell ref="N359:N360"/>
    <mergeCell ref="O359:O360"/>
    <mergeCell ref="P359:P360"/>
    <mergeCell ref="Q359:Q360"/>
    <mergeCell ref="R359:R360"/>
    <mergeCell ref="S359:S360"/>
    <mergeCell ref="T359:T360"/>
    <mergeCell ref="U359:U360"/>
    <mergeCell ref="V359:V360"/>
    <mergeCell ref="C359:C360"/>
    <mergeCell ref="D359:D360"/>
    <mergeCell ref="E359:E360"/>
    <mergeCell ref="F359:F360"/>
    <mergeCell ref="G359:G360"/>
    <mergeCell ref="H359:H360"/>
    <mergeCell ref="I359:I360"/>
    <mergeCell ref="J359:L359"/>
    <mergeCell ref="M359:M360"/>
  </mergeCells>
  <conditionalFormatting sqref="B14:B17">
    <cfRule type="duplicateValues" dxfId="301" priority="702"/>
  </conditionalFormatting>
  <conditionalFormatting sqref="B8:B12">
    <cfRule type="duplicateValues" dxfId="300" priority="701"/>
  </conditionalFormatting>
  <conditionalFormatting sqref="Q8:Q23">
    <cfRule type="cellIs" dxfId="299" priority="684" operator="greaterThan">
      <formula>AND(3, $E8*$C8)</formula>
    </cfRule>
  </conditionalFormatting>
  <conditionalFormatting sqref="B19:B23">
    <cfRule type="duplicateValues" dxfId="298" priority="699"/>
  </conditionalFormatting>
  <conditionalFormatting sqref="E8:E23">
    <cfRule type="containsBlanks" dxfId="297" priority="698">
      <formula>LEN(TRIM(E8))=0</formula>
    </cfRule>
  </conditionalFormatting>
  <conditionalFormatting sqref="J8:K23">
    <cfRule type="expression" dxfId="296" priority="689">
      <formula>IF($L8="Segment", TRUE)</formula>
    </cfRule>
  </conditionalFormatting>
  <conditionalFormatting sqref="M8:M23">
    <cfRule type="expression" dxfId="295" priority="687">
      <formula>IF($K8=$J8, TRUE)</formula>
    </cfRule>
  </conditionalFormatting>
  <conditionalFormatting sqref="P11:P23">
    <cfRule type="cellIs" dxfId="294" priority="693" operator="equal">
      <formula>FALSE</formula>
    </cfRule>
  </conditionalFormatting>
  <conditionalFormatting sqref="P8:P23">
    <cfRule type="expression" dxfId="293" priority="690">
      <formula>$L8=0</formula>
    </cfRule>
  </conditionalFormatting>
  <conditionalFormatting sqref="T8:T23">
    <cfRule type="cellIs" dxfId="292" priority="688" operator="equal">
      <formula>"REJ"</formula>
    </cfRule>
    <cfRule type="cellIs" dxfId="291" priority="695" operator="equal">
      <formula>"ACC"</formula>
    </cfRule>
    <cfRule type="cellIs" dxfId="290" priority="696" operator="equal">
      <formula>"NOT DONE-OWNER"</formula>
    </cfRule>
    <cfRule type="cellIs" dxfId="289" priority="697" operator="equal">
      <formula>"NOT DONE-CONTRACTOR"</formula>
    </cfRule>
    <cfRule type="cellIs" dxfId="288" priority="700" operator="equal">
      <formula>"RS"</formula>
    </cfRule>
  </conditionalFormatting>
  <conditionalFormatting sqref="V8:V23">
    <cfRule type="expression" dxfId="287" priority="691">
      <formula>$L8=0</formula>
    </cfRule>
    <cfRule type="cellIs" dxfId="286" priority="692" operator="equal">
      <formula>FALSE</formula>
    </cfRule>
  </conditionalFormatting>
  <conditionalFormatting sqref="S8:S23">
    <cfRule type="expression" dxfId="285" priority="686">
      <formula>$L8=0</formula>
    </cfRule>
  </conditionalFormatting>
  <conditionalFormatting sqref="Q8:Q23">
    <cfRule type="expression" dxfId="284" priority="685">
      <formula>$L8=0</formula>
    </cfRule>
  </conditionalFormatting>
  <conditionalFormatting sqref="D8:D23">
    <cfRule type="containsBlanks" dxfId="283" priority="683">
      <formula>LEN(TRIM(D8))=0</formula>
    </cfRule>
  </conditionalFormatting>
  <conditionalFormatting sqref="B39:B42">
    <cfRule type="duplicateValues" dxfId="282" priority="682"/>
  </conditionalFormatting>
  <conditionalFormatting sqref="B33:B37">
    <cfRule type="duplicateValues" dxfId="281" priority="681"/>
  </conditionalFormatting>
  <conditionalFormatting sqref="Q33:Q48">
    <cfRule type="cellIs" dxfId="280" priority="664" operator="greaterThan">
      <formula>AND(3, $E33*$C33)</formula>
    </cfRule>
  </conditionalFormatting>
  <conditionalFormatting sqref="B44:B48">
    <cfRule type="duplicateValues" dxfId="279" priority="679"/>
  </conditionalFormatting>
  <conditionalFormatting sqref="E33:E48">
    <cfRule type="containsBlanks" dxfId="278" priority="678">
      <formula>LEN(TRIM(E33))=0</formula>
    </cfRule>
  </conditionalFormatting>
  <conditionalFormatting sqref="J33:K48">
    <cfRule type="expression" dxfId="277" priority="669">
      <formula>IF($L33="Segment", TRUE)</formula>
    </cfRule>
  </conditionalFormatting>
  <conditionalFormatting sqref="M33:M48">
    <cfRule type="expression" dxfId="276" priority="667">
      <formula>IF($K33=$J33, TRUE)</formula>
    </cfRule>
  </conditionalFormatting>
  <conditionalFormatting sqref="P36:P48">
    <cfRule type="cellIs" dxfId="275" priority="673" operator="equal">
      <formula>FALSE</formula>
    </cfRule>
  </conditionalFormatting>
  <conditionalFormatting sqref="P33:P48">
    <cfRule type="expression" dxfId="274" priority="670">
      <formula>$L33=0</formula>
    </cfRule>
  </conditionalFormatting>
  <conditionalFormatting sqref="T33:T48">
    <cfRule type="cellIs" dxfId="273" priority="668" operator="equal">
      <formula>"REJ"</formula>
    </cfRule>
    <cfRule type="cellIs" dxfId="272" priority="675" operator="equal">
      <formula>"ACC"</formula>
    </cfRule>
    <cfRule type="cellIs" dxfId="271" priority="676" operator="equal">
      <formula>"NOT DONE-OWNER"</formula>
    </cfRule>
    <cfRule type="cellIs" dxfId="270" priority="677" operator="equal">
      <formula>"NOT DONE-CONTRACTOR"</formula>
    </cfRule>
    <cfRule type="cellIs" dxfId="269" priority="680" operator="equal">
      <formula>"RS"</formula>
    </cfRule>
  </conditionalFormatting>
  <conditionalFormatting sqref="V33:V48">
    <cfRule type="expression" dxfId="268" priority="671">
      <formula>$L33=0</formula>
    </cfRule>
    <cfRule type="cellIs" dxfId="267" priority="672" operator="equal">
      <formula>FALSE</formula>
    </cfRule>
  </conditionalFormatting>
  <conditionalFormatting sqref="S33:S48">
    <cfRule type="expression" dxfId="266" priority="666">
      <formula>$L33=0</formula>
    </cfRule>
  </conditionalFormatting>
  <conditionalFormatting sqref="Q33:Q48">
    <cfRule type="expression" dxfId="265" priority="665">
      <formula>$L33=0</formula>
    </cfRule>
  </conditionalFormatting>
  <conditionalFormatting sqref="D33:D48">
    <cfRule type="containsBlanks" dxfId="264" priority="663">
      <formula>LEN(TRIM(D33))=0</formula>
    </cfRule>
  </conditionalFormatting>
  <conditionalFormatting sqref="B64:B67">
    <cfRule type="duplicateValues" dxfId="263" priority="662"/>
  </conditionalFormatting>
  <conditionalFormatting sqref="B58:B62">
    <cfRule type="duplicateValues" dxfId="262" priority="661"/>
  </conditionalFormatting>
  <conditionalFormatting sqref="Q58:Q73">
    <cfRule type="cellIs" dxfId="261" priority="644" operator="greaterThan">
      <formula>AND(3, $E58*$C58)</formula>
    </cfRule>
  </conditionalFormatting>
  <conditionalFormatting sqref="B69:B73">
    <cfRule type="duplicateValues" dxfId="260" priority="659"/>
  </conditionalFormatting>
  <conditionalFormatting sqref="E58:E73">
    <cfRule type="containsBlanks" dxfId="259" priority="658">
      <formula>LEN(TRIM(E58))=0</formula>
    </cfRule>
  </conditionalFormatting>
  <conditionalFormatting sqref="J58:K73">
    <cfRule type="expression" dxfId="258" priority="649">
      <formula>IF($L58="Segment", TRUE)</formula>
    </cfRule>
  </conditionalFormatting>
  <conditionalFormatting sqref="M58:M73">
    <cfRule type="expression" dxfId="257" priority="647">
      <formula>IF($K58=$J58, TRUE)</formula>
    </cfRule>
  </conditionalFormatting>
  <conditionalFormatting sqref="P61:P73">
    <cfRule type="cellIs" dxfId="256" priority="653" operator="equal">
      <formula>FALSE</formula>
    </cfRule>
  </conditionalFormatting>
  <conditionalFormatting sqref="P58:P73">
    <cfRule type="expression" dxfId="255" priority="650">
      <formula>$L58=0</formula>
    </cfRule>
  </conditionalFormatting>
  <conditionalFormatting sqref="T58:T73">
    <cfRule type="cellIs" dxfId="254" priority="648" operator="equal">
      <formula>"REJ"</formula>
    </cfRule>
    <cfRule type="cellIs" dxfId="253" priority="655" operator="equal">
      <formula>"ACC"</formula>
    </cfRule>
    <cfRule type="cellIs" dxfId="252" priority="656" operator="equal">
      <formula>"NOT DONE-OWNER"</formula>
    </cfRule>
    <cfRule type="cellIs" dxfId="251" priority="657" operator="equal">
      <formula>"NOT DONE-CONTRACTOR"</formula>
    </cfRule>
    <cfRule type="cellIs" dxfId="250" priority="660" operator="equal">
      <formula>"RS"</formula>
    </cfRule>
  </conditionalFormatting>
  <conditionalFormatting sqref="V58:V73">
    <cfRule type="expression" dxfId="249" priority="651">
      <formula>$L58=0</formula>
    </cfRule>
    <cfRule type="cellIs" dxfId="248" priority="652" operator="equal">
      <formula>FALSE</formula>
    </cfRule>
  </conditionalFormatting>
  <conditionalFormatting sqref="S58:S73">
    <cfRule type="expression" dxfId="247" priority="646">
      <formula>$L58=0</formula>
    </cfRule>
  </conditionalFormatting>
  <conditionalFormatting sqref="Q58:Q73">
    <cfRule type="expression" dxfId="246" priority="645">
      <formula>$L58=0</formula>
    </cfRule>
  </conditionalFormatting>
  <conditionalFormatting sqref="D58:D73">
    <cfRule type="containsBlanks" dxfId="245" priority="643">
      <formula>LEN(TRIM(D58))=0</formula>
    </cfRule>
  </conditionalFormatting>
  <conditionalFormatting sqref="B89:B92">
    <cfRule type="duplicateValues" dxfId="244" priority="642"/>
  </conditionalFormatting>
  <conditionalFormatting sqref="B83:B87">
    <cfRule type="duplicateValues" dxfId="243" priority="641"/>
  </conditionalFormatting>
  <conditionalFormatting sqref="Q83:Q98">
    <cfRule type="cellIs" dxfId="242" priority="624" operator="greaterThan">
      <formula>AND(3, $E83*$C83)</formula>
    </cfRule>
  </conditionalFormatting>
  <conditionalFormatting sqref="B94:B98">
    <cfRule type="duplicateValues" dxfId="241" priority="639"/>
  </conditionalFormatting>
  <conditionalFormatting sqref="E83:E98">
    <cfRule type="containsBlanks" dxfId="240" priority="638">
      <formula>LEN(TRIM(E83))=0</formula>
    </cfRule>
  </conditionalFormatting>
  <conditionalFormatting sqref="J83:K98">
    <cfRule type="expression" dxfId="239" priority="629">
      <formula>IF($L83="Segment", TRUE)</formula>
    </cfRule>
  </conditionalFormatting>
  <conditionalFormatting sqref="M83:M98">
    <cfRule type="expression" dxfId="238" priority="627">
      <formula>IF($K83=$J83, TRUE)</formula>
    </cfRule>
  </conditionalFormatting>
  <conditionalFormatting sqref="P86:P98">
    <cfRule type="cellIs" dxfId="237" priority="633" operator="equal">
      <formula>FALSE</formula>
    </cfRule>
  </conditionalFormatting>
  <conditionalFormatting sqref="P83:P98">
    <cfRule type="expression" dxfId="236" priority="630">
      <formula>$L83=0</formula>
    </cfRule>
  </conditionalFormatting>
  <conditionalFormatting sqref="T83:T98">
    <cfRule type="cellIs" dxfId="235" priority="628" operator="equal">
      <formula>"REJ"</formula>
    </cfRule>
    <cfRule type="cellIs" dxfId="234" priority="635" operator="equal">
      <formula>"ACC"</formula>
    </cfRule>
    <cfRule type="cellIs" dxfId="233" priority="636" operator="equal">
      <formula>"NOT DONE-OWNER"</formula>
    </cfRule>
    <cfRule type="cellIs" dxfId="232" priority="637" operator="equal">
      <formula>"NOT DONE-CONTRACTOR"</formula>
    </cfRule>
    <cfRule type="cellIs" dxfId="231" priority="640" operator="equal">
      <formula>"RS"</formula>
    </cfRule>
  </conditionalFormatting>
  <conditionalFormatting sqref="V83:V98">
    <cfRule type="expression" dxfId="230" priority="631">
      <formula>$L83=0</formula>
    </cfRule>
    <cfRule type="cellIs" dxfId="229" priority="632" operator="equal">
      <formula>FALSE</formula>
    </cfRule>
  </conditionalFormatting>
  <conditionalFormatting sqref="S83:S98">
    <cfRule type="expression" dxfId="228" priority="626">
      <formula>$L83=0</formula>
    </cfRule>
  </conditionalFormatting>
  <conditionalFormatting sqref="Q83:Q98">
    <cfRule type="expression" dxfId="227" priority="625">
      <formula>$L83=0</formula>
    </cfRule>
  </conditionalFormatting>
  <conditionalFormatting sqref="D83:D98">
    <cfRule type="containsBlanks" dxfId="226" priority="623">
      <formula>LEN(TRIM(D83))=0</formula>
    </cfRule>
  </conditionalFormatting>
  <conditionalFormatting sqref="B114:B117">
    <cfRule type="duplicateValues" dxfId="225" priority="622"/>
  </conditionalFormatting>
  <conditionalFormatting sqref="B108:B112">
    <cfRule type="duplicateValues" dxfId="224" priority="621"/>
  </conditionalFormatting>
  <conditionalFormatting sqref="Q108:Q123">
    <cfRule type="cellIs" dxfId="223" priority="604" operator="greaterThan">
      <formula>AND(3, $E108*$C108)</formula>
    </cfRule>
  </conditionalFormatting>
  <conditionalFormatting sqref="B119:B123">
    <cfRule type="duplicateValues" dxfId="222" priority="619"/>
  </conditionalFormatting>
  <conditionalFormatting sqref="E108:E123">
    <cfRule type="containsBlanks" dxfId="221" priority="618">
      <formula>LEN(TRIM(E108))=0</formula>
    </cfRule>
  </conditionalFormatting>
  <conditionalFormatting sqref="J108:K123">
    <cfRule type="expression" dxfId="220" priority="609">
      <formula>IF($L108="Segment", TRUE)</formula>
    </cfRule>
  </conditionalFormatting>
  <conditionalFormatting sqref="M108:M123">
    <cfRule type="expression" dxfId="219" priority="607">
      <formula>IF($K108=$J108, TRUE)</formula>
    </cfRule>
  </conditionalFormatting>
  <conditionalFormatting sqref="P111:P123">
    <cfRule type="cellIs" dxfId="218" priority="613" operator="equal">
      <formula>FALSE</formula>
    </cfRule>
  </conditionalFormatting>
  <conditionalFormatting sqref="P108:P123">
    <cfRule type="expression" dxfId="217" priority="610">
      <formula>$L108=0</formula>
    </cfRule>
  </conditionalFormatting>
  <conditionalFormatting sqref="T108:T123">
    <cfRule type="cellIs" dxfId="216" priority="608" operator="equal">
      <formula>"REJ"</formula>
    </cfRule>
    <cfRule type="cellIs" dxfId="215" priority="615" operator="equal">
      <formula>"ACC"</formula>
    </cfRule>
    <cfRule type="cellIs" dxfId="214" priority="616" operator="equal">
      <formula>"NOT DONE-OWNER"</formula>
    </cfRule>
    <cfRule type="cellIs" dxfId="213" priority="617" operator="equal">
      <formula>"NOT DONE-CONTRACTOR"</formula>
    </cfRule>
    <cfRule type="cellIs" dxfId="212" priority="620" operator="equal">
      <formula>"RS"</formula>
    </cfRule>
  </conditionalFormatting>
  <conditionalFormatting sqref="V108:V123">
    <cfRule type="expression" dxfId="211" priority="611">
      <formula>$L108=0</formula>
    </cfRule>
    <cfRule type="cellIs" dxfId="210" priority="612" operator="equal">
      <formula>FALSE</formula>
    </cfRule>
  </conditionalFormatting>
  <conditionalFormatting sqref="S108:S123">
    <cfRule type="expression" dxfId="209" priority="606">
      <formula>$L108=0</formula>
    </cfRule>
  </conditionalFormatting>
  <conditionalFormatting sqref="Q108:Q123">
    <cfRule type="expression" dxfId="208" priority="605">
      <formula>$L108=0</formula>
    </cfRule>
  </conditionalFormatting>
  <conditionalFormatting sqref="D108:D123">
    <cfRule type="containsBlanks" dxfId="207" priority="603">
      <formula>LEN(TRIM(D108))=0</formula>
    </cfRule>
  </conditionalFormatting>
  <conditionalFormatting sqref="B139:B142">
    <cfRule type="duplicateValues" dxfId="206" priority="602"/>
  </conditionalFormatting>
  <conditionalFormatting sqref="B133:B137">
    <cfRule type="duplicateValues" dxfId="205" priority="601"/>
  </conditionalFormatting>
  <conditionalFormatting sqref="Q133:Q148">
    <cfRule type="cellIs" dxfId="204" priority="584" operator="greaterThan">
      <formula>AND(3, $E133*$C133)</formula>
    </cfRule>
  </conditionalFormatting>
  <conditionalFormatting sqref="B144:B148">
    <cfRule type="duplicateValues" dxfId="203" priority="599"/>
  </conditionalFormatting>
  <conditionalFormatting sqref="E133:E148">
    <cfRule type="containsBlanks" dxfId="202" priority="598">
      <formula>LEN(TRIM(E133))=0</formula>
    </cfRule>
  </conditionalFormatting>
  <conditionalFormatting sqref="J133:K148">
    <cfRule type="expression" dxfId="201" priority="589">
      <formula>IF($L133="Segment", TRUE)</formula>
    </cfRule>
  </conditionalFormatting>
  <conditionalFormatting sqref="M133:M148">
    <cfRule type="expression" dxfId="200" priority="587">
      <formula>IF($K133=$J133, TRUE)</formula>
    </cfRule>
  </conditionalFormatting>
  <conditionalFormatting sqref="P136:P148">
    <cfRule type="cellIs" dxfId="199" priority="593" operator="equal">
      <formula>FALSE</formula>
    </cfRule>
  </conditionalFormatting>
  <conditionalFormatting sqref="P133:P148">
    <cfRule type="expression" dxfId="198" priority="590">
      <formula>$L133=0</formula>
    </cfRule>
  </conditionalFormatting>
  <conditionalFormatting sqref="T133:T148">
    <cfRule type="cellIs" dxfId="197" priority="588" operator="equal">
      <formula>"REJ"</formula>
    </cfRule>
    <cfRule type="cellIs" dxfId="196" priority="595" operator="equal">
      <formula>"ACC"</formula>
    </cfRule>
    <cfRule type="cellIs" dxfId="195" priority="596" operator="equal">
      <formula>"NOT DONE-OWNER"</formula>
    </cfRule>
    <cfRule type="cellIs" dxfId="194" priority="597" operator="equal">
      <formula>"NOT DONE-CONTRACTOR"</formula>
    </cfRule>
    <cfRule type="cellIs" dxfId="193" priority="600" operator="equal">
      <formula>"RS"</formula>
    </cfRule>
  </conditionalFormatting>
  <conditionalFormatting sqref="V133:V148">
    <cfRule type="expression" dxfId="192" priority="591">
      <formula>$L133=0</formula>
    </cfRule>
    <cfRule type="cellIs" dxfId="191" priority="592" operator="equal">
      <formula>FALSE</formula>
    </cfRule>
  </conditionalFormatting>
  <conditionalFormatting sqref="S133:S148">
    <cfRule type="expression" dxfId="190" priority="586">
      <formula>$L133=0</formula>
    </cfRule>
  </conditionalFormatting>
  <conditionalFormatting sqref="Q133:Q148">
    <cfRule type="expression" dxfId="189" priority="585">
      <formula>$L133=0</formula>
    </cfRule>
  </conditionalFormatting>
  <conditionalFormatting sqref="D133:D148">
    <cfRule type="containsBlanks" dxfId="188" priority="583">
      <formula>LEN(TRIM(D133))=0</formula>
    </cfRule>
  </conditionalFormatting>
  <conditionalFormatting sqref="B164:B167">
    <cfRule type="duplicateValues" dxfId="187" priority="582"/>
  </conditionalFormatting>
  <conditionalFormatting sqref="B158:B162">
    <cfRule type="duplicateValues" dxfId="186" priority="581"/>
  </conditionalFormatting>
  <conditionalFormatting sqref="Q158:Q173">
    <cfRule type="cellIs" dxfId="185" priority="564" operator="greaterThan">
      <formula>AND(3, $E158*$C158)</formula>
    </cfRule>
  </conditionalFormatting>
  <conditionalFormatting sqref="B169:B173">
    <cfRule type="duplicateValues" dxfId="184" priority="579"/>
  </conditionalFormatting>
  <conditionalFormatting sqref="E158:E173">
    <cfRule type="containsBlanks" dxfId="183" priority="578">
      <formula>LEN(TRIM(E158))=0</formula>
    </cfRule>
  </conditionalFormatting>
  <conditionalFormatting sqref="J158:K173">
    <cfRule type="expression" dxfId="182" priority="569">
      <formula>IF($L158="Segment", TRUE)</formula>
    </cfRule>
  </conditionalFormatting>
  <conditionalFormatting sqref="M158:M173">
    <cfRule type="expression" dxfId="181" priority="567">
      <formula>IF($K158=$J158, TRUE)</formula>
    </cfRule>
  </conditionalFormatting>
  <conditionalFormatting sqref="P161:P173">
    <cfRule type="cellIs" dxfId="180" priority="573" operator="equal">
      <formula>FALSE</formula>
    </cfRule>
  </conditionalFormatting>
  <conditionalFormatting sqref="P158:P173">
    <cfRule type="expression" dxfId="179" priority="570">
      <formula>$L158=0</formula>
    </cfRule>
  </conditionalFormatting>
  <conditionalFormatting sqref="T158:T173">
    <cfRule type="cellIs" dxfId="178" priority="568" operator="equal">
      <formula>"REJ"</formula>
    </cfRule>
    <cfRule type="cellIs" dxfId="177" priority="575" operator="equal">
      <formula>"ACC"</formula>
    </cfRule>
    <cfRule type="cellIs" dxfId="176" priority="576" operator="equal">
      <formula>"NOT DONE-OWNER"</formula>
    </cfRule>
    <cfRule type="cellIs" dxfId="175" priority="577" operator="equal">
      <formula>"NOT DONE-CONTRACTOR"</formula>
    </cfRule>
    <cfRule type="cellIs" dxfId="174" priority="580" operator="equal">
      <formula>"RS"</formula>
    </cfRule>
  </conditionalFormatting>
  <conditionalFormatting sqref="V158:V173">
    <cfRule type="expression" dxfId="173" priority="571">
      <formula>$L158=0</formula>
    </cfRule>
    <cfRule type="cellIs" dxfId="172" priority="572" operator="equal">
      <formula>FALSE</formula>
    </cfRule>
  </conditionalFormatting>
  <conditionalFormatting sqref="S158:S173">
    <cfRule type="expression" dxfId="171" priority="566">
      <formula>$L158=0</formula>
    </cfRule>
  </conditionalFormatting>
  <conditionalFormatting sqref="Q158:Q173">
    <cfRule type="expression" dxfId="170" priority="565">
      <formula>$L158=0</formula>
    </cfRule>
  </conditionalFormatting>
  <conditionalFormatting sqref="D158:D173">
    <cfRule type="containsBlanks" dxfId="169" priority="563">
      <formula>LEN(TRIM(D158))=0</formula>
    </cfRule>
  </conditionalFormatting>
  <conditionalFormatting sqref="B189:B192">
    <cfRule type="duplicateValues" dxfId="168" priority="562"/>
  </conditionalFormatting>
  <conditionalFormatting sqref="B183:B187">
    <cfRule type="duplicateValues" dxfId="167" priority="561"/>
  </conditionalFormatting>
  <conditionalFormatting sqref="Q183:Q198">
    <cfRule type="cellIs" dxfId="166" priority="544" operator="greaterThan">
      <formula>AND(3, $E183*$C183)</formula>
    </cfRule>
  </conditionalFormatting>
  <conditionalFormatting sqref="B194:B198">
    <cfRule type="duplicateValues" dxfId="165" priority="559"/>
  </conditionalFormatting>
  <conditionalFormatting sqref="E183:E198">
    <cfRule type="containsBlanks" dxfId="164" priority="558">
      <formula>LEN(TRIM(E183))=0</formula>
    </cfRule>
  </conditionalFormatting>
  <conditionalFormatting sqref="J183:K198">
    <cfRule type="expression" dxfId="163" priority="549">
      <formula>IF($L183="Segment", TRUE)</formula>
    </cfRule>
  </conditionalFormatting>
  <conditionalFormatting sqref="M183:M198">
    <cfRule type="expression" dxfId="162" priority="547">
      <formula>IF($K183=$J183, TRUE)</formula>
    </cfRule>
  </conditionalFormatting>
  <conditionalFormatting sqref="P186:P198">
    <cfRule type="cellIs" dxfId="161" priority="553" operator="equal">
      <formula>FALSE</formula>
    </cfRule>
  </conditionalFormatting>
  <conditionalFormatting sqref="P183:P198">
    <cfRule type="expression" dxfId="160" priority="550">
      <formula>$L183=0</formula>
    </cfRule>
  </conditionalFormatting>
  <conditionalFormatting sqref="T183:T198">
    <cfRule type="cellIs" dxfId="159" priority="548" operator="equal">
      <formula>"REJ"</formula>
    </cfRule>
    <cfRule type="cellIs" dxfId="158" priority="555" operator="equal">
      <formula>"ACC"</formula>
    </cfRule>
    <cfRule type="cellIs" dxfId="157" priority="556" operator="equal">
      <formula>"NOT DONE-OWNER"</formula>
    </cfRule>
    <cfRule type="cellIs" dxfId="156" priority="557" operator="equal">
      <formula>"NOT DONE-CONTRACTOR"</formula>
    </cfRule>
    <cfRule type="cellIs" dxfId="155" priority="560" operator="equal">
      <formula>"RS"</formula>
    </cfRule>
  </conditionalFormatting>
  <conditionalFormatting sqref="V183:V198">
    <cfRule type="expression" dxfId="154" priority="551">
      <formula>$L183=0</formula>
    </cfRule>
    <cfRule type="cellIs" dxfId="153" priority="552" operator="equal">
      <formula>FALSE</formula>
    </cfRule>
  </conditionalFormatting>
  <conditionalFormatting sqref="S183:S198">
    <cfRule type="expression" dxfId="152" priority="546">
      <formula>$L183=0</formula>
    </cfRule>
  </conditionalFormatting>
  <conditionalFormatting sqref="Q183:Q198">
    <cfRule type="expression" dxfId="151" priority="545">
      <formula>$L183=0</formula>
    </cfRule>
  </conditionalFormatting>
  <conditionalFormatting sqref="D183:D198">
    <cfRule type="containsBlanks" dxfId="150" priority="543">
      <formula>LEN(TRIM(D183))=0</formula>
    </cfRule>
  </conditionalFormatting>
  <conditionalFormatting sqref="B214:B217">
    <cfRule type="duplicateValues" dxfId="149" priority="542"/>
  </conditionalFormatting>
  <conditionalFormatting sqref="B208:B212">
    <cfRule type="duplicateValues" dxfId="148" priority="541"/>
  </conditionalFormatting>
  <conditionalFormatting sqref="Q208:Q223">
    <cfRule type="cellIs" dxfId="147" priority="524" operator="greaterThan">
      <formula>AND(3, $E208*$C208)</formula>
    </cfRule>
  </conditionalFormatting>
  <conditionalFormatting sqref="B219:B223">
    <cfRule type="duplicateValues" dxfId="146" priority="539"/>
  </conditionalFormatting>
  <conditionalFormatting sqref="E208:E223">
    <cfRule type="containsBlanks" dxfId="145" priority="538">
      <formula>LEN(TRIM(E208))=0</formula>
    </cfRule>
  </conditionalFormatting>
  <conditionalFormatting sqref="J208:K223">
    <cfRule type="expression" dxfId="144" priority="529">
      <formula>IF($L208="Segment", TRUE)</formula>
    </cfRule>
  </conditionalFormatting>
  <conditionalFormatting sqref="M208:M223">
    <cfRule type="expression" dxfId="143" priority="527">
      <formula>IF($K208=$J208, TRUE)</formula>
    </cfRule>
  </conditionalFormatting>
  <conditionalFormatting sqref="P211:P223">
    <cfRule type="cellIs" dxfId="142" priority="533" operator="equal">
      <formula>FALSE</formula>
    </cfRule>
  </conditionalFormatting>
  <conditionalFormatting sqref="P208:P223">
    <cfRule type="expression" dxfId="141" priority="530">
      <formula>$L208=0</formula>
    </cfRule>
  </conditionalFormatting>
  <conditionalFormatting sqref="T208:T223">
    <cfRule type="cellIs" dxfId="140" priority="528" operator="equal">
      <formula>"REJ"</formula>
    </cfRule>
    <cfRule type="cellIs" dxfId="139" priority="535" operator="equal">
      <formula>"ACC"</formula>
    </cfRule>
    <cfRule type="cellIs" dxfId="138" priority="536" operator="equal">
      <formula>"NOT DONE-OWNER"</formula>
    </cfRule>
    <cfRule type="cellIs" dxfId="137" priority="537" operator="equal">
      <formula>"NOT DONE-CONTRACTOR"</formula>
    </cfRule>
    <cfRule type="cellIs" dxfId="136" priority="540" operator="equal">
      <formula>"RS"</formula>
    </cfRule>
  </conditionalFormatting>
  <conditionalFormatting sqref="V208:V223">
    <cfRule type="expression" dxfId="135" priority="531">
      <formula>$L208=0</formula>
    </cfRule>
    <cfRule type="cellIs" dxfId="134" priority="532" operator="equal">
      <formula>FALSE</formula>
    </cfRule>
  </conditionalFormatting>
  <conditionalFormatting sqref="S208:S223">
    <cfRule type="expression" dxfId="133" priority="526">
      <formula>$L208=0</formula>
    </cfRule>
  </conditionalFormatting>
  <conditionalFormatting sqref="Q208:Q223">
    <cfRule type="expression" dxfId="132" priority="525">
      <formula>$L208=0</formula>
    </cfRule>
  </conditionalFormatting>
  <conditionalFormatting sqref="D208:D223">
    <cfRule type="containsBlanks" dxfId="131" priority="523">
      <formula>LEN(TRIM(D208))=0</formula>
    </cfRule>
  </conditionalFormatting>
  <conditionalFormatting sqref="B239:B242">
    <cfRule type="duplicateValues" dxfId="130" priority="522"/>
  </conditionalFormatting>
  <conditionalFormatting sqref="B233:B237">
    <cfRule type="duplicateValues" dxfId="129" priority="521"/>
  </conditionalFormatting>
  <conditionalFormatting sqref="Q233:Q248">
    <cfRule type="cellIs" dxfId="128" priority="504" operator="greaterThan">
      <formula>AND(3, $E233*$C233)</formula>
    </cfRule>
  </conditionalFormatting>
  <conditionalFormatting sqref="B244:B248">
    <cfRule type="duplicateValues" dxfId="127" priority="519"/>
  </conditionalFormatting>
  <conditionalFormatting sqref="E233:E248">
    <cfRule type="containsBlanks" dxfId="126" priority="518">
      <formula>LEN(TRIM(E233))=0</formula>
    </cfRule>
  </conditionalFormatting>
  <conditionalFormatting sqref="J233:K248">
    <cfRule type="expression" dxfId="125" priority="509">
      <formula>IF($L233="Segment", TRUE)</formula>
    </cfRule>
  </conditionalFormatting>
  <conditionalFormatting sqref="M233:M248">
    <cfRule type="expression" dxfId="124" priority="507">
      <formula>IF($K233=$J233, TRUE)</formula>
    </cfRule>
  </conditionalFormatting>
  <conditionalFormatting sqref="P236:P248">
    <cfRule type="cellIs" dxfId="123" priority="513" operator="equal">
      <formula>FALSE</formula>
    </cfRule>
  </conditionalFormatting>
  <conditionalFormatting sqref="P233:P248">
    <cfRule type="expression" dxfId="122" priority="510">
      <formula>$L233=0</formula>
    </cfRule>
  </conditionalFormatting>
  <conditionalFormatting sqref="T233:T248">
    <cfRule type="cellIs" dxfId="121" priority="508" operator="equal">
      <formula>"REJ"</formula>
    </cfRule>
    <cfRule type="cellIs" dxfId="120" priority="515" operator="equal">
      <formula>"ACC"</formula>
    </cfRule>
    <cfRule type="cellIs" dxfId="119" priority="516" operator="equal">
      <formula>"NOT DONE-OWNER"</formula>
    </cfRule>
    <cfRule type="cellIs" dxfId="118" priority="517" operator="equal">
      <formula>"NOT DONE-CONTRACTOR"</formula>
    </cfRule>
    <cfRule type="cellIs" dxfId="117" priority="520" operator="equal">
      <formula>"RS"</formula>
    </cfRule>
  </conditionalFormatting>
  <conditionalFormatting sqref="V233:V248">
    <cfRule type="expression" dxfId="116" priority="511">
      <formula>$L233=0</formula>
    </cfRule>
    <cfRule type="cellIs" dxfId="115" priority="512" operator="equal">
      <formula>FALSE</formula>
    </cfRule>
  </conditionalFormatting>
  <conditionalFormatting sqref="S233:S248">
    <cfRule type="expression" dxfId="114" priority="506">
      <formula>$L233=0</formula>
    </cfRule>
  </conditionalFormatting>
  <conditionalFormatting sqref="Q233:Q248">
    <cfRule type="expression" dxfId="113" priority="505">
      <formula>$L233=0</formula>
    </cfRule>
  </conditionalFormatting>
  <conditionalFormatting sqref="D233:D248">
    <cfRule type="containsBlanks" dxfId="112" priority="503">
      <formula>LEN(TRIM(D233))=0</formula>
    </cfRule>
  </conditionalFormatting>
  <conditionalFormatting sqref="B267:B270">
    <cfRule type="duplicateValues" dxfId="111" priority="202"/>
  </conditionalFormatting>
  <conditionalFormatting sqref="B261:B265">
    <cfRule type="duplicateValues" dxfId="110" priority="201"/>
  </conditionalFormatting>
  <conditionalFormatting sqref="Q261:Q276">
    <cfRule type="cellIs" dxfId="109" priority="184" operator="greaterThan">
      <formula>AND(3, $E261*$C261)</formula>
    </cfRule>
  </conditionalFormatting>
  <conditionalFormatting sqref="B272:B276">
    <cfRule type="duplicateValues" dxfId="108" priority="199"/>
  </conditionalFormatting>
  <conditionalFormatting sqref="E261:E276">
    <cfRule type="containsBlanks" dxfId="107" priority="198">
      <formula>LEN(TRIM(E261))=0</formula>
    </cfRule>
  </conditionalFormatting>
  <conditionalFormatting sqref="J261:K276">
    <cfRule type="expression" dxfId="106" priority="189">
      <formula>IF($L261="Segment", TRUE)</formula>
    </cfRule>
  </conditionalFormatting>
  <conditionalFormatting sqref="M261:M276">
    <cfRule type="expression" dxfId="105" priority="187">
      <formula>IF($K261=$J261, TRUE)</formula>
    </cfRule>
  </conditionalFormatting>
  <conditionalFormatting sqref="P264:P276">
    <cfRule type="cellIs" dxfId="104" priority="193" operator="equal">
      <formula>FALSE</formula>
    </cfRule>
  </conditionalFormatting>
  <conditionalFormatting sqref="P261:P276">
    <cfRule type="expression" dxfId="103" priority="190">
      <formula>$L261=0</formula>
    </cfRule>
  </conditionalFormatting>
  <conditionalFormatting sqref="T261:T276">
    <cfRule type="cellIs" dxfId="102" priority="188" operator="equal">
      <formula>"REJ"</formula>
    </cfRule>
    <cfRule type="cellIs" dxfId="101" priority="195" operator="equal">
      <formula>"ACC"</formula>
    </cfRule>
    <cfRule type="cellIs" dxfId="100" priority="196" operator="equal">
      <formula>"NOT DONE-OWNER"</formula>
    </cfRule>
    <cfRule type="cellIs" dxfId="99" priority="197" operator="equal">
      <formula>"NOT DONE-CONTRACTOR"</formula>
    </cfRule>
    <cfRule type="cellIs" dxfId="98" priority="200" operator="equal">
      <formula>"RS"</formula>
    </cfRule>
  </conditionalFormatting>
  <conditionalFormatting sqref="V261:V276">
    <cfRule type="expression" dxfId="97" priority="191">
      <formula>$L261=0</formula>
    </cfRule>
    <cfRule type="cellIs" dxfId="96" priority="192" operator="equal">
      <formula>FALSE</formula>
    </cfRule>
  </conditionalFormatting>
  <conditionalFormatting sqref="S261:S276">
    <cfRule type="expression" dxfId="95" priority="186">
      <formula>$L261=0</formula>
    </cfRule>
  </conditionalFormatting>
  <conditionalFormatting sqref="Q261:Q276">
    <cfRule type="expression" dxfId="94" priority="185">
      <formula>$L261=0</formula>
    </cfRule>
  </conditionalFormatting>
  <conditionalFormatting sqref="D261:D276">
    <cfRule type="containsBlanks" dxfId="93" priority="183">
      <formula>LEN(TRIM(D261))=0</formula>
    </cfRule>
  </conditionalFormatting>
  <conditionalFormatting sqref="B292:B295">
    <cfRule type="duplicateValues" dxfId="92" priority="182"/>
  </conditionalFormatting>
  <conditionalFormatting sqref="B286:B290">
    <cfRule type="duplicateValues" dxfId="91" priority="181"/>
  </conditionalFormatting>
  <conditionalFormatting sqref="Q286:Q301">
    <cfRule type="cellIs" dxfId="90" priority="164" operator="greaterThan">
      <formula>AND(3, $E286*$C286)</formula>
    </cfRule>
  </conditionalFormatting>
  <conditionalFormatting sqref="B297:B301">
    <cfRule type="duplicateValues" dxfId="89" priority="179"/>
  </conditionalFormatting>
  <conditionalFormatting sqref="E286:E301">
    <cfRule type="containsBlanks" dxfId="88" priority="178">
      <formula>LEN(TRIM(E286))=0</formula>
    </cfRule>
  </conditionalFormatting>
  <conditionalFormatting sqref="J286:K301">
    <cfRule type="expression" dxfId="87" priority="169">
      <formula>IF($L286="Segment", TRUE)</formula>
    </cfRule>
  </conditionalFormatting>
  <conditionalFormatting sqref="M286:M301">
    <cfRule type="expression" dxfId="86" priority="167">
      <formula>IF($K286=$J286, TRUE)</formula>
    </cfRule>
  </conditionalFormatting>
  <conditionalFormatting sqref="P289:P301">
    <cfRule type="cellIs" dxfId="85" priority="173" operator="equal">
      <formula>FALSE</formula>
    </cfRule>
  </conditionalFormatting>
  <conditionalFormatting sqref="P286:P301">
    <cfRule type="expression" dxfId="84" priority="170">
      <formula>$L286=0</formula>
    </cfRule>
  </conditionalFormatting>
  <conditionalFormatting sqref="T286:T301">
    <cfRule type="cellIs" dxfId="83" priority="168" operator="equal">
      <formula>"REJ"</formula>
    </cfRule>
    <cfRule type="cellIs" dxfId="82" priority="175" operator="equal">
      <formula>"ACC"</formula>
    </cfRule>
    <cfRule type="cellIs" dxfId="81" priority="176" operator="equal">
      <formula>"NOT DONE-OWNER"</formula>
    </cfRule>
    <cfRule type="cellIs" dxfId="80" priority="177" operator="equal">
      <formula>"NOT DONE-CONTRACTOR"</formula>
    </cfRule>
    <cfRule type="cellIs" dxfId="79" priority="180" operator="equal">
      <formula>"RS"</formula>
    </cfRule>
  </conditionalFormatting>
  <conditionalFormatting sqref="V286:V301">
    <cfRule type="expression" dxfId="78" priority="171">
      <formula>$L286=0</formula>
    </cfRule>
    <cfRule type="cellIs" dxfId="77" priority="172" operator="equal">
      <formula>FALSE</formula>
    </cfRule>
  </conditionalFormatting>
  <conditionalFormatting sqref="S286:S301">
    <cfRule type="expression" dxfId="76" priority="166">
      <formula>$L286=0</formula>
    </cfRule>
  </conditionalFormatting>
  <conditionalFormatting sqref="Q286:Q301">
    <cfRule type="expression" dxfId="75" priority="165">
      <formula>$L286=0</formula>
    </cfRule>
  </conditionalFormatting>
  <conditionalFormatting sqref="D286:D301">
    <cfRule type="containsBlanks" dxfId="74" priority="163">
      <formula>LEN(TRIM(D286))=0</formula>
    </cfRule>
  </conditionalFormatting>
  <conditionalFormatting sqref="B317:B320">
    <cfRule type="duplicateValues" dxfId="73" priority="162"/>
  </conditionalFormatting>
  <conditionalFormatting sqref="B311:B315">
    <cfRule type="duplicateValues" dxfId="72" priority="161"/>
  </conditionalFormatting>
  <conditionalFormatting sqref="Q311:Q326">
    <cfRule type="cellIs" dxfId="71" priority="144" operator="greaterThan">
      <formula>AND(3, $E311*$C311)</formula>
    </cfRule>
  </conditionalFormatting>
  <conditionalFormatting sqref="B322:B326">
    <cfRule type="duplicateValues" dxfId="70" priority="159"/>
  </conditionalFormatting>
  <conditionalFormatting sqref="E311:E326">
    <cfRule type="containsBlanks" dxfId="69" priority="158">
      <formula>LEN(TRIM(E311))=0</formula>
    </cfRule>
  </conditionalFormatting>
  <conditionalFormatting sqref="J311:K326">
    <cfRule type="expression" dxfId="68" priority="149">
      <formula>IF($L311="Segment", TRUE)</formula>
    </cfRule>
  </conditionalFormatting>
  <conditionalFormatting sqref="M311:M326">
    <cfRule type="expression" dxfId="67" priority="147">
      <formula>IF($K311=$J311, TRUE)</formula>
    </cfRule>
  </conditionalFormatting>
  <conditionalFormatting sqref="P314:P326">
    <cfRule type="cellIs" dxfId="66" priority="153" operator="equal">
      <formula>FALSE</formula>
    </cfRule>
  </conditionalFormatting>
  <conditionalFormatting sqref="P311:P326">
    <cfRule type="expression" dxfId="65" priority="150">
      <formula>$L311=0</formula>
    </cfRule>
  </conditionalFormatting>
  <conditionalFormatting sqref="T311:T326">
    <cfRule type="cellIs" dxfId="64" priority="148" operator="equal">
      <formula>"REJ"</formula>
    </cfRule>
    <cfRule type="cellIs" dxfId="63" priority="155" operator="equal">
      <formula>"ACC"</formula>
    </cfRule>
    <cfRule type="cellIs" dxfId="62" priority="156" operator="equal">
      <formula>"NOT DONE-OWNER"</formula>
    </cfRule>
    <cfRule type="cellIs" dxfId="61" priority="157" operator="equal">
      <formula>"NOT DONE-CONTRACTOR"</formula>
    </cfRule>
    <cfRule type="cellIs" dxfId="60" priority="160" operator="equal">
      <formula>"RS"</formula>
    </cfRule>
  </conditionalFormatting>
  <conditionalFormatting sqref="V311:V326">
    <cfRule type="expression" dxfId="59" priority="151">
      <formula>$L311=0</formula>
    </cfRule>
    <cfRule type="cellIs" dxfId="58" priority="152" operator="equal">
      <formula>FALSE</formula>
    </cfRule>
  </conditionalFormatting>
  <conditionalFormatting sqref="S311:S326">
    <cfRule type="expression" dxfId="57" priority="146">
      <formula>$L311=0</formula>
    </cfRule>
  </conditionalFormatting>
  <conditionalFormatting sqref="Q311:Q326">
    <cfRule type="expression" dxfId="56" priority="145">
      <formula>$L311=0</formula>
    </cfRule>
  </conditionalFormatting>
  <conditionalFormatting sqref="D311:D326">
    <cfRule type="containsBlanks" dxfId="55" priority="143">
      <formula>LEN(TRIM(D311))=0</formula>
    </cfRule>
  </conditionalFormatting>
  <conditionalFormatting sqref="D336:D351">
    <cfRule type="containsBlanks" dxfId="54" priority="83">
      <formula>LEN(TRIM(D336))=0</formula>
    </cfRule>
  </conditionalFormatting>
  <conditionalFormatting sqref="Q336:Q351">
    <cfRule type="cellIs" dxfId="53" priority="84" operator="greaterThan">
      <formula>AND(3, $E336*$C336)</formula>
    </cfRule>
  </conditionalFormatting>
  <conditionalFormatting sqref="E336:E351">
    <cfRule type="containsBlanks" dxfId="52" priority="98">
      <formula>LEN(TRIM(E336))=0</formula>
    </cfRule>
  </conditionalFormatting>
  <conditionalFormatting sqref="J336:K351">
    <cfRule type="expression" dxfId="51" priority="89">
      <formula>IF($L336="Segment", TRUE)</formula>
    </cfRule>
  </conditionalFormatting>
  <conditionalFormatting sqref="M336:M351">
    <cfRule type="expression" dxfId="50" priority="87">
      <formula>IF($K336=$J336, TRUE)</formula>
    </cfRule>
  </conditionalFormatting>
  <conditionalFormatting sqref="P339:P351">
    <cfRule type="cellIs" dxfId="49" priority="93" operator="equal">
      <formula>FALSE</formula>
    </cfRule>
  </conditionalFormatting>
  <conditionalFormatting sqref="P336:P351">
    <cfRule type="expression" dxfId="48" priority="90">
      <formula>$L336=0</formula>
    </cfRule>
  </conditionalFormatting>
  <conditionalFormatting sqref="T336:T351">
    <cfRule type="cellIs" dxfId="47" priority="88" operator="equal">
      <formula>"REJ"</formula>
    </cfRule>
    <cfRule type="cellIs" dxfId="46" priority="95" operator="equal">
      <formula>"ACC"</formula>
    </cfRule>
    <cfRule type="cellIs" dxfId="45" priority="96" operator="equal">
      <formula>"NOT DONE-OWNER"</formula>
    </cfRule>
    <cfRule type="cellIs" dxfId="44" priority="97" operator="equal">
      <formula>"NOT DONE-CONTRACTOR"</formula>
    </cfRule>
    <cfRule type="cellIs" dxfId="43" priority="100" operator="equal">
      <formula>"RS"</formula>
    </cfRule>
  </conditionalFormatting>
  <conditionalFormatting sqref="V336:V351">
    <cfRule type="expression" dxfId="42" priority="91">
      <formula>$L336=0</formula>
    </cfRule>
    <cfRule type="cellIs" dxfId="41" priority="92" operator="equal">
      <formula>FALSE</formula>
    </cfRule>
  </conditionalFormatting>
  <conditionalFormatting sqref="S336:S351">
    <cfRule type="expression" dxfId="40" priority="86">
      <formula>$L336=0</formula>
    </cfRule>
  </conditionalFormatting>
  <conditionalFormatting sqref="Q336:Q351">
    <cfRule type="expression" dxfId="39" priority="85">
      <formula>$L336=0</formula>
    </cfRule>
  </conditionalFormatting>
  <conditionalFormatting sqref="B342:B345">
    <cfRule type="duplicateValues" dxfId="38" priority="102"/>
  </conditionalFormatting>
  <conditionalFormatting sqref="B336:B340">
    <cfRule type="duplicateValues" dxfId="37" priority="101"/>
  </conditionalFormatting>
  <conditionalFormatting sqref="B347:B351">
    <cfRule type="duplicateValues" dxfId="36" priority="99"/>
  </conditionalFormatting>
  <conditionalFormatting sqref="D361:D376">
    <cfRule type="containsBlanks" dxfId="35" priority="17">
      <formula>LEN(TRIM(D361))=0</formula>
    </cfRule>
  </conditionalFormatting>
  <conditionalFormatting sqref="Q372:Q376">
    <cfRule type="cellIs" dxfId="34" priority="18" operator="greaterThan">
      <formula>AND(3, $E372*$C372)</formula>
    </cfRule>
  </conditionalFormatting>
  <conditionalFormatting sqref="E361:E376">
    <cfRule type="containsBlanks" dxfId="33" priority="32">
      <formula>LEN(TRIM(E361))=0</formula>
    </cfRule>
  </conditionalFormatting>
  <conditionalFormatting sqref="J361:K376">
    <cfRule type="expression" dxfId="32" priority="23">
      <formula>IF($L361="Segment", TRUE)</formula>
    </cfRule>
  </conditionalFormatting>
  <conditionalFormatting sqref="M361:M376">
    <cfRule type="expression" dxfId="31" priority="21">
      <formula>IF($K361=$J361, TRUE)</formula>
    </cfRule>
  </conditionalFormatting>
  <conditionalFormatting sqref="N361:N376">
    <cfRule type="containsErrors" dxfId="30" priority="28">
      <formula>ISERROR(N361)</formula>
    </cfRule>
  </conditionalFormatting>
  <conditionalFormatting sqref="P364:P376">
    <cfRule type="cellIs" dxfId="29" priority="27" operator="equal">
      <formula>FALSE</formula>
    </cfRule>
  </conditionalFormatting>
  <conditionalFormatting sqref="P361:P376">
    <cfRule type="expression" dxfId="28" priority="24">
      <formula>$L361=0</formula>
    </cfRule>
  </conditionalFormatting>
  <conditionalFormatting sqref="T361:T376">
    <cfRule type="cellIs" dxfId="27" priority="22" operator="equal">
      <formula>"REJ"</formula>
    </cfRule>
    <cfRule type="cellIs" dxfId="26" priority="29" operator="equal">
      <formula>"ACC"</formula>
    </cfRule>
    <cfRule type="cellIs" dxfId="25" priority="30" operator="equal">
      <formula>"NOT DONE-OWNER"</formula>
    </cfRule>
    <cfRule type="cellIs" dxfId="24" priority="31" operator="equal">
      <formula>"NOT DONE-CONTRACTOR"</formula>
    </cfRule>
    <cfRule type="cellIs" dxfId="23" priority="34" operator="equal">
      <formula>"RS"</formula>
    </cfRule>
  </conditionalFormatting>
  <conditionalFormatting sqref="V361:V376">
    <cfRule type="expression" dxfId="22" priority="25">
      <formula>$L361=0</formula>
    </cfRule>
    <cfRule type="cellIs" dxfId="21" priority="26" operator="equal">
      <formula>FALSE</formula>
    </cfRule>
  </conditionalFormatting>
  <conditionalFormatting sqref="S361:S376">
    <cfRule type="expression" dxfId="20" priority="20">
      <formula>$L361=0</formula>
    </cfRule>
  </conditionalFormatting>
  <conditionalFormatting sqref="Q372:Q376">
    <cfRule type="expression" dxfId="19" priority="19">
      <formula>$L372=0</formula>
    </cfRule>
  </conditionalFormatting>
  <conditionalFormatting sqref="B367:B370">
    <cfRule type="duplicateValues" dxfId="18" priority="36"/>
  </conditionalFormatting>
  <conditionalFormatting sqref="B361:B365">
    <cfRule type="duplicateValues" dxfId="17" priority="35"/>
  </conditionalFormatting>
  <conditionalFormatting sqref="B372:B376">
    <cfRule type="duplicateValues" dxfId="16" priority="33"/>
  </conditionalFormatting>
  <conditionalFormatting sqref="Q361:Q371">
    <cfRule type="cellIs" dxfId="15" priority="15" operator="greaterThan">
      <formula>AND(3, $E361*$C361)</formula>
    </cfRule>
  </conditionalFormatting>
  <conditionalFormatting sqref="Q361:Q371">
    <cfRule type="expression" dxfId="14" priority="16">
      <formula>$L361=0</formula>
    </cfRule>
  </conditionalFormatting>
  <conditionalFormatting sqref="N336:N351">
    <cfRule type="containsErrors" dxfId="13" priority="14">
      <formula>ISERROR(N336)</formula>
    </cfRule>
  </conditionalFormatting>
  <conditionalFormatting sqref="N311:N326">
    <cfRule type="containsErrors" dxfId="12" priority="13">
      <formula>ISERROR(N311)</formula>
    </cfRule>
  </conditionalFormatting>
  <conditionalFormatting sqref="N286:N301">
    <cfRule type="containsErrors" dxfId="11" priority="12">
      <formula>ISERROR(N286)</formula>
    </cfRule>
  </conditionalFormatting>
  <conditionalFormatting sqref="N261:N276">
    <cfRule type="containsErrors" dxfId="10" priority="11">
      <formula>ISERROR(N261)</formula>
    </cfRule>
  </conditionalFormatting>
  <conditionalFormatting sqref="N233:N248">
    <cfRule type="containsErrors" dxfId="9" priority="10">
      <formula>ISERROR(N233)</formula>
    </cfRule>
  </conditionalFormatting>
  <conditionalFormatting sqref="N208:N223">
    <cfRule type="containsErrors" dxfId="8" priority="9">
      <formula>ISERROR(N208)</formula>
    </cfRule>
  </conditionalFormatting>
  <conditionalFormatting sqref="N183:N198">
    <cfRule type="containsErrors" dxfId="7" priority="8">
      <formula>ISERROR(N183)</formula>
    </cfRule>
  </conditionalFormatting>
  <conditionalFormatting sqref="N158:N173">
    <cfRule type="containsErrors" dxfId="6" priority="7">
      <formula>ISERROR(N158)</formula>
    </cfRule>
  </conditionalFormatting>
  <conditionalFormatting sqref="N133:N148">
    <cfRule type="containsErrors" dxfId="5" priority="6">
      <formula>ISERROR(N133)</formula>
    </cfRule>
  </conditionalFormatting>
  <conditionalFormatting sqref="N108:N123">
    <cfRule type="containsErrors" dxfId="4" priority="5">
      <formula>ISERROR(N108)</formula>
    </cfRule>
  </conditionalFormatting>
  <conditionalFormatting sqref="N83:N98">
    <cfRule type="containsErrors" dxfId="3" priority="4">
      <formula>ISERROR(N83)</formula>
    </cfRule>
  </conditionalFormatting>
  <conditionalFormatting sqref="N58:N73">
    <cfRule type="containsErrors" dxfId="2" priority="3">
      <formula>ISERROR(N58)</formula>
    </cfRule>
  </conditionalFormatting>
  <conditionalFormatting sqref="N33:N48">
    <cfRule type="containsErrors" dxfId="1" priority="2">
      <formula>ISERROR(N33)</formula>
    </cfRule>
  </conditionalFormatting>
  <conditionalFormatting sqref="N8:N23">
    <cfRule type="containsErrors" dxfId="0" priority="1">
      <formula>ISERROR(N8)</formula>
    </cfRule>
  </conditionalFormatting>
  <dataValidations count="6">
    <dataValidation type="whole" allowBlank="1" showInputMessage="1" showErrorMessage="1" sqref="J22:J23 J47:J48 J72:J73 J97:J98 J122:J123 J147:J148 J172:J173 J197:J198 J222:J223 J247:J248 J275:J276 J300:J301 J325:J326 J350:J351 J375:J376" xr:uid="{A2FB963C-0C4E-4C66-99F8-4F18DC184DA8}">
      <formula1>0</formula1>
      <formula2>#REF!</formula2>
    </dataValidation>
    <dataValidation type="list" allowBlank="1" showInputMessage="1" showErrorMessage="1" sqref="T8:T23 T33:T48 T58:T73 T83:T98 T108:T123 T133:T148 T158:T173 T183:T198 T208:T223 T233:T248 T261:T276 T286:T301 T311:T326 T336:T351 T361:T376" xr:uid="{AAE03FF2-FED2-45B4-85FC-8671A6CC95F8}">
      <formula1>"ACC, REJ, REP, RS, RT, NOT DONE-OWNER, NOT DONE-CONTRACTOR"</formula1>
    </dataValidation>
    <dataValidation type="whole" allowBlank="1" showInputMessage="1" showErrorMessage="1" sqref="K8:K23 K33:K48 K58:K73 K83:K98 K108:K123 K133:K148 K158:K173 K183:K198 K208:K223 K233:K248 K261:K276 K286:K301 K311:K326 K336:K351 K361:K376" xr:uid="{A52376BC-F748-41AF-A289-CA18D6C176FA}">
      <formula1>0</formula1>
      <formula2>$I8</formula2>
    </dataValidation>
    <dataValidation type="list" allowBlank="1" showInputMessage="1" showErrorMessage="1" sqref="D8:E23 D33:E48 D58:E73 D83:E98 D108:E123 D133:E148 D158:E173 D183:E198 D208:E223 D233:E248 D261:E276 D286:E301 D311:E326 D336:E351 D361:E376" xr:uid="{55EAE58B-E8AD-40F1-BDC6-1F1C96AE566C}">
      <formula1>Nominal</formula1>
    </dataValidation>
    <dataValidation type="list" allowBlank="1" showInputMessage="1" showErrorMessage="1" sqref="L22:L23 L20 L17:L18 L8:L15 L47:L48 L45 L42:L43 L33:L40 L72:L73 L70 L67:L68 L58:L65 L97:L98 L95 L92:L93 L83:L90 L122:L123 L120 L117:L118 L108:L115 L147:L148 L145 L142:L143 L133:L140 L172:L173 L170 L167:L168 L158:L165 L197:L198 L195 L192:L193 L183:L190 L222:L223 L220 L217:L218 L208:L215 L247:L248 L245 L242:L243 L233:L240 L275:L276 L273 L270:L271 L261:L268 L300:L301 L298 L295:L296 L286:L293 L325:L326 L323 L320:L321 L311:L318 L350:L351 L348 L345:L346 L336:L343 L375:L376 L373 L370:L371 L361:L368" xr:uid="{A274F0BF-4CA1-4D16-95DE-F771EACB3D9B}">
      <formula1>"Segment, Full, Gap"</formula1>
    </dataValidation>
    <dataValidation type="whole" allowBlank="1" showInputMessage="1" showErrorMessage="1" sqref="J8:J21 J33:J46 J58:J71 J83:J96 J108:J121 J133:J146 J158:J171 J183:J196 J208:J221 J233:J246 J261:J274 J286:J299 J311:J324 J336:J349 J361:J374" xr:uid="{95F92991-AC11-46CB-A253-4D43B1F875A2}">
      <formula1>0</formula1>
      <formula2>$I12</formula2>
    </dataValidation>
  </dataValidations>
  <pageMargins left="0.7" right="0.7" top="0.75" bottom="0.75" header="0.3" footer="0.3"/>
  <pageSetup scale="2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Pipe Size</vt:lpstr>
      <vt:lpstr>930-4</vt:lpstr>
      <vt:lpstr>Nominal</vt:lpstr>
      <vt:lpstr>O.D_Inches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وحید کوثری</dc:creator>
  <dc:description>Rev. No. X_x000d_
Many Many Bugs Fixed.</dc:description>
  <cp:lastModifiedBy>وحید کوثری</cp:lastModifiedBy>
  <cp:lastPrinted>2024-04-20T04:17:32Z</cp:lastPrinted>
  <dcterms:created xsi:type="dcterms:W3CDTF">2024-04-02T10:57:20Z</dcterms:created>
  <dcterms:modified xsi:type="dcterms:W3CDTF">2024-08-21T05:14:04Z</dcterms:modified>
</cp:coreProperties>
</file>